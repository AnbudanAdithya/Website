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PERSONAL\Website\New Website\Files\"/>
    </mc:Choice>
  </mc:AlternateContent>
  <xr:revisionPtr revIDLastSave="0" documentId="13_ncr:1_{76524DF1-5FB9-49A1-8B7B-462F72578FC2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tabRatio="784" xr2:uid="{00000000-000D-0000-FFFF-FFFF00000000}"/>
  </bookViews>
  <sheets>
    <sheet name="Formatted EMI Schedule" sheetId="4" r:id="rId1"/>
    <sheet name="Formatted EMI Schedule Table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5" l="1"/>
  <c r="G13" i="5" s="1"/>
  <c r="F13" i="5" s="1"/>
  <c r="I13" i="5" s="1"/>
  <c r="E14" i="5" s="1"/>
  <c r="H13" i="5"/>
  <c r="G14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G12" i="5"/>
  <c r="H12" i="5"/>
  <c r="F12" i="5" s="1"/>
  <c r="I12" i="5" s="1"/>
  <c r="E12" i="5"/>
  <c r="I11" i="5"/>
  <c r="F11" i="5"/>
  <c r="G11" i="5"/>
  <c r="H11" i="5"/>
  <c r="E11" i="5"/>
  <c r="I14" i="4"/>
  <c r="I12" i="4"/>
  <c r="I10" i="4"/>
  <c r="I21" i="4"/>
  <c r="F14" i="5" l="1"/>
  <c r="I14" i="5" s="1"/>
  <c r="E15" i="5" s="1"/>
  <c r="I9" i="5"/>
  <c r="H7" i="5"/>
  <c r="K7" i="5"/>
  <c r="H5" i="5"/>
  <c r="H3" i="5"/>
  <c r="G15" i="5" l="1"/>
  <c r="F15" i="5" s="1"/>
  <c r="I15" i="5" s="1"/>
  <c r="E16" i="5" s="1"/>
  <c r="I19" i="4"/>
  <c r="G16" i="5" l="1"/>
  <c r="F16" i="5" s="1"/>
  <c r="I16" i="5"/>
  <c r="E17" i="5" s="1"/>
  <c r="K5" i="5"/>
  <c r="G17" i="5" l="1"/>
  <c r="F17" i="5" s="1"/>
  <c r="I17" i="5" s="1"/>
  <c r="E18" i="5" s="1"/>
  <c r="G18" i="5" l="1"/>
  <c r="F18" i="5" s="1"/>
  <c r="I18" i="5" s="1"/>
  <c r="E19" i="5" s="1"/>
  <c r="G19" i="5" l="1"/>
  <c r="F19" i="5" s="1"/>
  <c r="I19" i="5"/>
  <c r="E20" i="5" s="1"/>
  <c r="G20" i="5" l="1"/>
  <c r="F20" i="5" s="1"/>
  <c r="I20" i="5"/>
  <c r="E21" i="5" s="1"/>
  <c r="G21" i="5" l="1"/>
  <c r="F21" i="5" s="1"/>
  <c r="I21" i="5"/>
  <c r="E22" i="5" s="1"/>
  <c r="G22" i="5" l="1"/>
  <c r="F22" i="5" s="1"/>
  <c r="I22" i="5" s="1"/>
  <c r="E23" i="5" s="1"/>
  <c r="G23" i="5" l="1"/>
  <c r="F23" i="5" s="1"/>
  <c r="I23" i="5"/>
  <c r="E24" i="5" s="1"/>
  <c r="G24" i="5" l="1"/>
  <c r="F24" i="5" s="1"/>
  <c r="I24" i="5"/>
  <c r="E25" i="5" s="1"/>
  <c r="G25" i="5" l="1"/>
  <c r="F25" i="5" s="1"/>
  <c r="I25" i="5"/>
  <c r="E26" i="5" s="1"/>
  <c r="G26" i="5" l="1"/>
  <c r="F26" i="5" s="1"/>
  <c r="I26" i="5" s="1"/>
  <c r="E27" i="5" s="1"/>
  <c r="G27" i="5" l="1"/>
  <c r="F27" i="5" s="1"/>
  <c r="I27" i="5" s="1"/>
  <c r="E28" i="5" s="1"/>
  <c r="G28" i="5" l="1"/>
  <c r="F28" i="5" s="1"/>
  <c r="I28" i="5" s="1"/>
  <c r="E29" i="5" s="1"/>
  <c r="I29" i="5" l="1"/>
  <c r="E30" i="5" s="1"/>
  <c r="G29" i="5"/>
  <c r="F29" i="5" s="1"/>
  <c r="G30" i="5" l="1"/>
  <c r="F30" i="5" s="1"/>
  <c r="I30" i="5" s="1"/>
  <c r="E31" i="5" s="1"/>
  <c r="G31" i="5" l="1"/>
  <c r="F31" i="5" s="1"/>
  <c r="I31" i="5"/>
  <c r="E32" i="5" s="1"/>
  <c r="G32" i="5" l="1"/>
  <c r="F32" i="5" s="1"/>
  <c r="I32" i="5" s="1"/>
  <c r="E33" i="5" s="1"/>
  <c r="G33" i="5" l="1"/>
  <c r="F33" i="5" s="1"/>
  <c r="I33" i="5"/>
  <c r="E34" i="5" s="1"/>
  <c r="I34" i="5" l="1"/>
  <c r="E35" i="5" s="1"/>
  <c r="G34" i="5"/>
  <c r="F34" i="5" s="1"/>
  <c r="I35" i="5" l="1"/>
  <c r="E36" i="5" s="1"/>
  <c r="G35" i="5"/>
  <c r="F35" i="5" s="1"/>
  <c r="I36" i="5" l="1"/>
  <c r="E37" i="5" s="1"/>
  <c r="G36" i="5"/>
  <c r="F36" i="5" s="1"/>
  <c r="G37" i="5" l="1"/>
  <c r="F37" i="5" s="1"/>
  <c r="I37" i="5" s="1"/>
  <c r="E38" i="5" s="1"/>
  <c r="G38" i="5" l="1"/>
  <c r="F38" i="5" s="1"/>
  <c r="I38" i="5"/>
  <c r="E39" i="5" s="1"/>
  <c r="G39" i="5" l="1"/>
  <c r="F39" i="5" s="1"/>
  <c r="I39" i="5" s="1"/>
  <c r="E40" i="5" s="1"/>
  <c r="G40" i="5" l="1"/>
  <c r="F40" i="5" s="1"/>
  <c r="I40" i="5" s="1"/>
  <c r="E41" i="5" s="1"/>
  <c r="I41" i="5" l="1"/>
  <c r="E42" i="5" s="1"/>
  <c r="G41" i="5"/>
  <c r="F41" i="5" s="1"/>
  <c r="G42" i="5" l="1"/>
  <c r="F42" i="5" s="1"/>
  <c r="I42" i="5" s="1"/>
  <c r="E43" i="5" s="1"/>
  <c r="G43" i="5" l="1"/>
  <c r="F43" i="5" s="1"/>
  <c r="I43" i="5"/>
  <c r="E44" i="5" s="1"/>
  <c r="G44" i="5" l="1"/>
  <c r="F44" i="5" s="1"/>
  <c r="I44" i="5"/>
  <c r="E45" i="5" s="1"/>
  <c r="G45" i="5" l="1"/>
  <c r="F45" i="5" s="1"/>
  <c r="I45" i="5" s="1"/>
  <c r="E46" i="5" s="1"/>
  <c r="G46" i="5" l="1"/>
  <c r="F46" i="5" s="1"/>
  <c r="I46" i="5" s="1"/>
  <c r="E47" i="5" s="1"/>
  <c r="G47" i="5" l="1"/>
  <c r="F47" i="5" s="1"/>
  <c r="I47" i="5" s="1"/>
  <c r="E48" i="5" s="1"/>
  <c r="G48" i="5" l="1"/>
  <c r="F48" i="5" s="1"/>
  <c r="I48" i="5" s="1"/>
  <c r="E49" i="5" s="1"/>
  <c r="G49" i="5" l="1"/>
  <c r="F49" i="5" s="1"/>
  <c r="I49" i="5"/>
  <c r="E50" i="5" s="1"/>
  <c r="G50" i="5" l="1"/>
  <c r="F50" i="5" s="1"/>
  <c r="I50" i="5" s="1"/>
  <c r="E51" i="5" s="1"/>
  <c r="G51" i="5" l="1"/>
  <c r="F51" i="5" s="1"/>
  <c r="I51" i="5"/>
  <c r="E52" i="5" s="1"/>
  <c r="G52" i="5" l="1"/>
  <c r="F52" i="5" s="1"/>
  <c r="I52" i="5" s="1"/>
  <c r="E53" i="5" s="1"/>
  <c r="I53" i="5" l="1"/>
  <c r="E54" i="5" s="1"/>
  <c r="G53" i="5"/>
  <c r="F53" i="5" s="1"/>
  <c r="G54" i="5" l="1"/>
  <c r="F54" i="5" s="1"/>
  <c r="I54" i="5"/>
  <c r="E55" i="5" s="1"/>
  <c r="G55" i="5" l="1"/>
  <c r="F55" i="5" s="1"/>
  <c r="I55" i="5"/>
  <c r="E56" i="5" s="1"/>
  <c r="G56" i="5" l="1"/>
  <c r="F56" i="5" s="1"/>
  <c r="I56" i="5"/>
  <c r="E57" i="5" s="1"/>
  <c r="G57" i="5" l="1"/>
  <c r="F57" i="5" s="1"/>
  <c r="I57" i="5"/>
  <c r="E58" i="5" s="1"/>
  <c r="G58" i="5" l="1"/>
  <c r="F58" i="5" s="1"/>
  <c r="I58" i="5" s="1"/>
  <c r="E59" i="5" s="1"/>
  <c r="G59" i="5" l="1"/>
  <c r="F59" i="5" s="1"/>
  <c r="I59" i="5" s="1"/>
  <c r="E60" i="5" s="1"/>
  <c r="G60" i="5" l="1"/>
  <c r="F60" i="5" s="1"/>
  <c r="I60" i="5" s="1"/>
  <c r="E61" i="5" s="1"/>
  <c r="G61" i="5" l="1"/>
  <c r="F61" i="5" s="1"/>
  <c r="I61" i="5"/>
  <c r="E62" i="5" s="1"/>
  <c r="G62" i="5" l="1"/>
  <c r="F62" i="5" s="1"/>
  <c r="I62" i="5" s="1"/>
  <c r="E63" i="5" s="1"/>
  <c r="G63" i="5" l="1"/>
  <c r="F63" i="5" s="1"/>
  <c r="I63" i="5" s="1"/>
  <c r="E64" i="5" s="1"/>
  <c r="G64" i="5" l="1"/>
  <c r="F64" i="5" s="1"/>
  <c r="I64" i="5" s="1"/>
  <c r="E65" i="5" s="1"/>
  <c r="G65" i="5" l="1"/>
  <c r="F65" i="5" s="1"/>
  <c r="I65" i="5" s="1"/>
  <c r="E66" i="5" s="1"/>
  <c r="G66" i="5" l="1"/>
  <c r="F66" i="5" s="1"/>
  <c r="I66" i="5"/>
  <c r="E67" i="5" s="1"/>
  <c r="G67" i="5" l="1"/>
  <c r="F67" i="5" s="1"/>
  <c r="I67" i="5"/>
  <c r="E68" i="5" s="1"/>
  <c r="G68" i="5" l="1"/>
  <c r="F68" i="5" s="1"/>
  <c r="I68" i="5"/>
  <c r="E69" i="5" s="1"/>
  <c r="G69" i="5" l="1"/>
  <c r="F69" i="5" s="1"/>
  <c r="I69" i="5"/>
  <c r="E70" i="5" s="1"/>
  <c r="G70" i="5" l="1"/>
  <c r="F70" i="5" s="1"/>
  <c r="I70" i="5" s="1"/>
  <c r="E71" i="5" s="1"/>
  <c r="G71" i="5" l="1"/>
  <c r="F71" i="5" s="1"/>
  <c r="I71" i="5" s="1"/>
  <c r="E72" i="5" s="1"/>
  <c r="G72" i="5" l="1"/>
  <c r="F72" i="5" s="1"/>
  <c r="I72" i="5" s="1"/>
  <c r="E73" i="5" s="1"/>
  <c r="G73" i="5" l="1"/>
  <c r="F73" i="5" s="1"/>
  <c r="I73" i="5"/>
  <c r="E74" i="5" s="1"/>
  <c r="G74" i="5" l="1"/>
  <c r="F74" i="5" s="1"/>
  <c r="I74" i="5" s="1"/>
  <c r="E75" i="5" s="1"/>
  <c r="G75" i="5" l="1"/>
  <c r="F75" i="5" s="1"/>
  <c r="I75" i="5"/>
  <c r="E76" i="5" s="1"/>
  <c r="G76" i="5" l="1"/>
  <c r="F76" i="5" s="1"/>
  <c r="I76" i="5"/>
  <c r="E77" i="5" s="1"/>
  <c r="G77" i="5" l="1"/>
  <c r="F77" i="5" s="1"/>
  <c r="I77" i="5" s="1"/>
  <c r="E78" i="5" s="1"/>
  <c r="G78" i="5" l="1"/>
  <c r="F78" i="5" s="1"/>
  <c r="I78" i="5" s="1"/>
  <c r="E79" i="5" s="1"/>
  <c r="G79" i="5" l="1"/>
  <c r="F79" i="5" s="1"/>
  <c r="I79" i="5"/>
  <c r="E80" i="5" s="1"/>
  <c r="G80" i="5" l="1"/>
  <c r="F80" i="5" s="1"/>
  <c r="I80" i="5"/>
  <c r="E81" i="5" s="1"/>
  <c r="G81" i="5" l="1"/>
  <c r="F81" i="5" s="1"/>
  <c r="I81" i="5" s="1"/>
  <c r="E82" i="5" s="1"/>
  <c r="G82" i="5" l="1"/>
  <c r="F82" i="5" s="1"/>
  <c r="I82" i="5" s="1"/>
  <c r="E83" i="5" s="1"/>
  <c r="G83" i="5" l="1"/>
  <c r="F83" i="5" s="1"/>
  <c r="I83" i="5" s="1"/>
  <c r="E84" i="5" s="1"/>
  <c r="G84" i="5" l="1"/>
  <c r="F84" i="5" s="1"/>
  <c r="I84" i="5" s="1"/>
  <c r="E85" i="5" s="1"/>
  <c r="G85" i="5" l="1"/>
  <c r="F85" i="5" s="1"/>
  <c r="I85" i="5"/>
  <c r="E86" i="5" s="1"/>
  <c r="G86" i="5" l="1"/>
  <c r="F86" i="5" s="1"/>
  <c r="I86" i="5" s="1"/>
  <c r="E87" i="5" s="1"/>
  <c r="G87" i="5" l="1"/>
  <c r="F87" i="5" s="1"/>
  <c r="I87" i="5"/>
  <c r="E88" i="5" s="1"/>
  <c r="G88" i="5" l="1"/>
  <c r="F88" i="5" s="1"/>
  <c r="I88" i="5"/>
  <c r="E89" i="5" s="1"/>
  <c r="G89" i="5" l="1"/>
  <c r="F89" i="5" s="1"/>
  <c r="I89" i="5" s="1"/>
  <c r="E90" i="5" s="1"/>
  <c r="G90" i="5" l="1"/>
  <c r="F90" i="5" s="1"/>
  <c r="I90" i="5" s="1"/>
  <c r="E91" i="5" s="1"/>
  <c r="G91" i="5" l="1"/>
  <c r="F91" i="5" s="1"/>
  <c r="I91" i="5"/>
  <c r="E92" i="5" s="1"/>
  <c r="G92" i="5" l="1"/>
  <c r="F92" i="5" s="1"/>
  <c r="I92" i="5"/>
  <c r="E93" i="5" s="1"/>
  <c r="G93" i="5" l="1"/>
  <c r="F93" i="5" s="1"/>
  <c r="I93" i="5"/>
  <c r="E94" i="5" s="1"/>
  <c r="G94" i="5" l="1"/>
  <c r="F94" i="5" s="1"/>
  <c r="I94" i="5" s="1"/>
  <c r="E95" i="5" s="1"/>
  <c r="G95" i="5" l="1"/>
  <c r="F95" i="5" s="1"/>
  <c r="I95" i="5" s="1"/>
  <c r="E96" i="5" s="1"/>
  <c r="G96" i="5" l="1"/>
  <c r="F96" i="5" s="1"/>
  <c r="I96" i="5"/>
  <c r="E97" i="5" s="1"/>
  <c r="G97" i="5" l="1"/>
  <c r="F97" i="5" s="1"/>
  <c r="I97" i="5"/>
  <c r="E98" i="5" s="1"/>
  <c r="G98" i="5" l="1"/>
  <c r="F98" i="5" s="1"/>
  <c r="I98" i="5" s="1"/>
  <c r="E99" i="5" s="1"/>
  <c r="G99" i="5" l="1"/>
  <c r="F99" i="5" s="1"/>
  <c r="I99" i="5"/>
  <c r="E100" i="5" s="1"/>
  <c r="G100" i="5" l="1"/>
  <c r="F100" i="5" s="1"/>
  <c r="I100" i="5"/>
  <c r="E101" i="5" s="1"/>
  <c r="G101" i="5" l="1"/>
  <c r="F101" i="5" s="1"/>
  <c r="I101" i="5" s="1"/>
  <c r="E102" i="5" s="1"/>
  <c r="G102" i="5" l="1"/>
  <c r="F102" i="5" s="1"/>
  <c r="I102" i="5" s="1"/>
  <c r="E103" i="5" s="1"/>
  <c r="G103" i="5" l="1"/>
  <c r="F103" i="5" s="1"/>
  <c r="I103" i="5"/>
  <c r="E104" i="5" s="1"/>
  <c r="G104" i="5" l="1"/>
  <c r="F104" i="5" s="1"/>
  <c r="I104" i="5" s="1"/>
  <c r="E105" i="5" s="1"/>
  <c r="G105" i="5" l="1"/>
  <c r="F105" i="5" s="1"/>
  <c r="I105" i="5"/>
  <c r="E106" i="5" s="1"/>
  <c r="G106" i="5" l="1"/>
  <c r="F106" i="5" s="1"/>
  <c r="I106" i="5" s="1"/>
  <c r="E107" i="5" s="1"/>
  <c r="G107" i="5" l="1"/>
  <c r="F107" i="5" s="1"/>
  <c r="I107" i="5" s="1"/>
  <c r="E108" i="5" s="1"/>
  <c r="G108" i="5" l="1"/>
  <c r="F108" i="5" s="1"/>
  <c r="I108" i="5"/>
  <c r="E109" i="5" s="1"/>
  <c r="G109" i="5" l="1"/>
  <c r="F109" i="5" s="1"/>
  <c r="I109" i="5" s="1"/>
  <c r="E110" i="5" s="1"/>
  <c r="G110" i="5" l="1"/>
  <c r="F110" i="5" s="1"/>
  <c r="I110" i="5" s="1"/>
  <c r="E111" i="5" s="1"/>
  <c r="G111" i="5" l="1"/>
  <c r="F111" i="5" s="1"/>
  <c r="I111" i="5"/>
  <c r="E112" i="5" s="1"/>
  <c r="G112" i="5" l="1"/>
  <c r="F112" i="5" s="1"/>
  <c r="I112" i="5"/>
  <c r="E113" i="5" s="1"/>
  <c r="G113" i="5" l="1"/>
  <c r="F113" i="5" s="1"/>
  <c r="I113" i="5" s="1"/>
  <c r="E114" i="5" s="1"/>
  <c r="G114" i="5" l="1"/>
  <c r="F114" i="5" s="1"/>
  <c r="I114" i="5" s="1"/>
  <c r="E115" i="5" s="1"/>
  <c r="G115" i="5" l="1"/>
  <c r="F115" i="5" s="1"/>
  <c r="I115" i="5" s="1"/>
  <c r="E116" i="5" s="1"/>
  <c r="G116" i="5" l="1"/>
  <c r="F116" i="5" s="1"/>
  <c r="I116" i="5" s="1"/>
  <c r="E117" i="5" s="1"/>
  <c r="G117" i="5" l="1"/>
  <c r="F117" i="5" s="1"/>
  <c r="I117" i="5"/>
  <c r="E118" i="5" s="1"/>
  <c r="G118" i="5" l="1"/>
  <c r="F118" i="5" s="1"/>
  <c r="I118" i="5" s="1"/>
  <c r="E119" i="5" s="1"/>
  <c r="G119" i="5" l="1"/>
  <c r="F119" i="5" s="1"/>
  <c r="I119" i="5"/>
  <c r="E120" i="5" s="1"/>
  <c r="G120" i="5" l="1"/>
  <c r="F120" i="5" s="1"/>
  <c r="I120" i="5"/>
  <c r="E121" i="5" s="1"/>
  <c r="G121" i="5" l="1"/>
  <c r="F121" i="5" s="1"/>
  <c r="I121" i="5" s="1"/>
  <c r="E122" i="5" s="1"/>
  <c r="G122" i="5" l="1"/>
  <c r="F122" i="5" s="1"/>
  <c r="I122" i="5" s="1"/>
  <c r="E123" i="5" s="1"/>
  <c r="G123" i="5" l="1"/>
  <c r="F123" i="5" s="1"/>
  <c r="I123" i="5"/>
  <c r="E124" i="5" s="1"/>
  <c r="G124" i="5" l="1"/>
  <c r="F124" i="5" s="1"/>
  <c r="I124" i="5"/>
  <c r="E125" i="5" s="1"/>
  <c r="G125" i="5" l="1"/>
  <c r="F125" i="5" s="1"/>
  <c r="I125" i="5" s="1"/>
  <c r="E126" i="5" s="1"/>
  <c r="G126" i="5" l="1"/>
  <c r="F126" i="5" s="1"/>
  <c r="I126" i="5" s="1"/>
  <c r="E127" i="5" s="1"/>
  <c r="G127" i="5" l="1"/>
  <c r="F127" i="5" s="1"/>
  <c r="I127" i="5" s="1"/>
  <c r="E128" i="5" s="1"/>
  <c r="G128" i="5" l="1"/>
  <c r="F128" i="5" s="1"/>
  <c r="I128" i="5"/>
  <c r="E129" i="5" s="1"/>
  <c r="G129" i="5" l="1"/>
  <c r="F129" i="5" s="1"/>
  <c r="I129" i="5" s="1"/>
  <c r="E130" i="5" s="1"/>
  <c r="G130" i="5" l="1"/>
  <c r="F130" i="5" s="1"/>
  <c r="I13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Adithya_1st MBA</author>
  </authors>
  <commentList>
    <comment ref="I10" authorId="0" shapeId="0" xr:uid="{7BE378DB-AFB4-47A3-B2F0-9A05FCCF4A72}">
      <text>
        <r>
          <rPr>
            <b/>
            <sz val="9"/>
            <color indexed="81"/>
            <rFont val="Tahoma"/>
            <family val="2"/>
          </rPr>
          <t>Adithya_1st MBA:</t>
        </r>
        <r>
          <rPr>
            <sz val="9"/>
            <color indexed="81"/>
            <rFont val="Tahoma"/>
            <family val="2"/>
          </rPr>
          <t xml:space="preserve">
Enter your loan amount here.
</t>
        </r>
      </text>
    </comment>
    <comment ref="I12" authorId="0" shapeId="0" xr:uid="{55C8932B-E4A4-455B-A4A3-B88F6244B706}">
      <text>
        <r>
          <rPr>
            <b/>
            <sz val="9"/>
            <color indexed="81"/>
            <rFont val="Tahoma"/>
            <family val="2"/>
          </rPr>
          <t>Adithya_1st MBA:</t>
        </r>
        <r>
          <rPr>
            <sz val="9"/>
            <color indexed="81"/>
            <rFont val="Tahoma"/>
            <family val="2"/>
          </rPr>
          <t xml:space="preserve">
Enter the period of the loan (the number of years the loan is to be repaid back in.)</t>
        </r>
      </text>
    </comment>
    <comment ref="I14" authorId="0" shapeId="0" xr:uid="{30FE1324-36EE-4560-A686-461C456A4889}">
      <text>
        <r>
          <rPr>
            <b/>
            <sz val="9"/>
            <color indexed="81"/>
            <rFont val="Tahoma"/>
            <family val="2"/>
          </rPr>
          <t>Adithya_1st MBA:</t>
        </r>
        <r>
          <rPr>
            <sz val="9"/>
            <color indexed="81"/>
            <rFont val="Tahoma"/>
            <family val="2"/>
          </rPr>
          <t xml:space="preserve">
Input the yearly interest rate applicable.</t>
        </r>
      </text>
    </comment>
    <comment ref="E19" authorId="0" shapeId="0" xr:uid="{B14C2482-D041-4117-A99F-2BD3F95CC685}">
      <text>
        <r>
          <rPr>
            <b/>
            <sz val="9"/>
            <color indexed="81"/>
            <rFont val="Tahoma"/>
            <family val="2"/>
          </rPr>
          <t>Adithya_1st MBA:</t>
        </r>
        <r>
          <rPr>
            <sz val="9"/>
            <color indexed="81"/>
            <rFont val="Tahoma"/>
            <family val="2"/>
          </rPr>
          <t xml:space="preserve">
Click this button if you wish to see how much yearly installments is paid.</t>
        </r>
      </text>
    </comment>
    <comment ref="E21" authorId="0" shapeId="0" xr:uid="{989A9F59-86B0-4F8A-A2AB-5E83ED215EE2}">
      <text>
        <r>
          <rPr>
            <b/>
            <sz val="9"/>
            <color indexed="81"/>
            <rFont val="Tahoma"/>
            <family val="2"/>
          </rPr>
          <t>Adithya_1st MBA:</t>
        </r>
        <r>
          <rPr>
            <sz val="9"/>
            <color indexed="81"/>
            <rFont val="Tahoma"/>
            <family val="2"/>
          </rPr>
          <t xml:space="preserve">
Click this button to see monthly installments.</t>
        </r>
      </text>
    </comment>
  </commentList>
</comments>
</file>

<file path=xl/sharedStrings.xml><?xml version="1.0" encoding="utf-8"?>
<sst xmlns="http://schemas.openxmlformats.org/spreadsheetml/2006/main" count="21" uniqueCount="18">
  <si>
    <t>EMI</t>
  </si>
  <si>
    <t>INTEREST</t>
  </si>
  <si>
    <t>PERIOD</t>
  </si>
  <si>
    <t>Loan</t>
  </si>
  <si>
    <t>EMI Calculator</t>
  </si>
  <si>
    <t>Years</t>
  </si>
  <si>
    <t>Yearly Int. Rate(%)</t>
  </si>
  <si>
    <t>Yearly</t>
  </si>
  <si>
    <t>Monthly</t>
  </si>
  <si>
    <t>Yearly Interest Rates (%)</t>
  </si>
  <si>
    <t xml:space="preserve">Option </t>
  </si>
  <si>
    <t xml:space="preserve">                   </t>
  </si>
  <si>
    <t>PRINCIPAL REPAYMENT</t>
  </si>
  <si>
    <t>LOAN OPENING BALANCE</t>
  </si>
  <si>
    <t>LOAN CLOSING BALANCE</t>
  </si>
  <si>
    <t>EMI Calculator Schedule</t>
  </si>
  <si>
    <t>EMI Payable</t>
  </si>
  <si>
    <t>Click this box to see the EMI breakup for each period.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</si>
</sst>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164" formatCode="&quot;₹&quot;\ #,##0.00"/>
    <numFmt numFmtId="165" formatCode="&quot;₹&quot;\ #,##0.00;[Red]&quot;₹&quot;\ #,##0.00"/>
  </numFmts>
  <fonts count="13" x14ac:knownFonts="1">
    <font>
      <sz val="11"/>
      <color theme="1"/>
      <name val="Calibri"/>
      <family val="2"/>
      <scheme val="minor"/>
    </font>
    <font>
      <b/>
      <sz val="12"/>
      <color theme="1"/>
      <name val="Aptos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color theme="0"/>
      <name val="Aptos"/>
      <family val="2"/>
    </font>
    <font>
      <u/>
      <sz val="11"/>
      <color theme="10"/>
      <name val="Calibri"/>
      <family val="2"/>
      <scheme val="minor"/>
    </font>
    <font>
      <u/>
      <sz val="14"/>
      <color theme="10"/>
      <name val="Aptos"/>
      <family val="2"/>
    </font>
    <font>
      <sz val="11"/>
      <color rgb="FFFF0000"/>
      <name val="Aptos"/>
      <family val="2"/>
    </font>
    <font>
      <b/>
      <i/>
      <sz val="12"/>
      <color rgb="FFFF0000"/>
      <name val="Aptos"/>
      <family val="2"/>
    </font>
    <font>
      <b/>
      <i/>
      <sz val="11"/>
      <color theme="1"/>
      <name val="Apto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FF000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8">
    <xf numFmtId="0" fontId="0" fillId="0" borderId="0" xfId="0"/>
    <xf numFmtId="0" fontId="2" fillId="2" borderId="0" xfId="0" applyFont="1" applyFill="1"/>
    <xf numFmtId="0" fontId="2" fillId="4" borderId="2" xfId="0" applyFont="1" applyFill="1" applyBorder="1"/>
    <xf numFmtId="0" fontId="2" fillId="4" borderId="3" xfId="0" applyFont="1" applyFill="1" applyBorder="1"/>
    <xf numFmtId="0" fontId="2" fillId="4" borderId="4" xfId="0" applyFont="1" applyFill="1" applyBorder="1"/>
    <xf numFmtId="0" fontId="2" fillId="4" borderId="5" xfId="0" applyFont="1" applyFill="1" applyBorder="1"/>
    <xf numFmtId="0" fontId="2" fillId="4" borderId="0" xfId="0" applyFont="1" applyFill="1"/>
    <xf numFmtId="0" fontId="2" fillId="4" borderId="6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5" borderId="1" xfId="0" applyFont="1" applyFill="1" applyBorder="1"/>
    <xf numFmtId="0" fontId="3" fillId="4" borderId="0" xfId="0" applyFont="1" applyFill="1"/>
    <xf numFmtId="8" fontId="2" fillId="6" borderId="1" xfId="0" applyNumberFormat="1" applyFont="1" applyFill="1" applyBorder="1"/>
    <xf numFmtId="164" fontId="2" fillId="5" borderId="1" xfId="0" applyNumberFormat="1" applyFont="1" applyFill="1" applyBorder="1"/>
    <xf numFmtId="0" fontId="2" fillId="0" borderId="0" xfId="0" applyFont="1"/>
    <xf numFmtId="8" fontId="2" fillId="2" borderId="0" xfId="0" applyNumberFormat="1" applyFont="1" applyFill="1"/>
    <xf numFmtId="0" fontId="3" fillId="5" borderId="0" xfId="0" applyFont="1" applyFill="1" applyAlignment="1">
      <alignment horizontal="center" vertical="center" wrapText="1"/>
    </xf>
    <xf numFmtId="165" fontId="2" fillId="7" borderId="0" xfId="0" applyNumberFormat="1" applyFont="1" applyFill="1"/>
    <xf numFmtId="0" fontId="2" fillId="7" borderId="0" xfId="0" applyFont="1" applyFill="1"/>
    <xf numFmtId="0" fontId="4" fillId="2" borderId="0" xfId="0" applyFont="1" applyFill="1"/>
    <xf numFmtId="0" fontId="4" fillId="0" borderId="0" xfId="0" applyFont="1"/>
    <xf numFmtId="0" fontId="7" fillId="2" borderId="0" xfId="0" applyFont="1" applyFill="1"/>
    <xf numFmtId="0" fontId="7" fillId="0" borderId="0" xfId="0" applyFont="1"/>
    <xf numFmtId="164" fontId="4" fillId="0" borderId="0" xfId="0" applyNumberFormat="1" applyFont="1"/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3" fillId="4" borderId="0" xfId="0" applyFont="1" applyFill="1" applyAlignment="1">
      <alignment horizontal="left"/>
    </xf>
    <xf numFmtId="0" fontId="9" fillId="8" borderId="10" xfId="0" applyFont="1" applyFill="1" applyBorder="1" applyAlignment="1">
      <alignment horizontal="center"/>
    </xf>
    <xf numFmtId="0" fontId="9" fillId="8" borderId="11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6" fillId="0" borderId="0" xfId="1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6" fmlaLink="$M$10" max="30000" min="100" page="10" val="400"/>
</file>

<file path=xl/ctrlProps/ctrlProp2.xml><?xml version="1.0" encoding="utf-8"?>
<formControlPr xmlns="http://schemas.microsoft.com/office/spreadsheetml/2009/9/main" objectType="Spin" dx="26" fmlaLink="$M$12" max="40" min="5" page="10" val="20"/>
</file>

<file path=xl/ctrlProps/ctrlProp3.xml><?xml version="1.0" encoding="utf-8"?>
<formControlPr xmlns="http://schemas.microsoft.com/office/spreadsheetml/2009/9/main" objectType="Spin" dx="26" fmlaLink="$M$14" inc="10" max="2000" min="500" page="10" val="680"/>
</file>

<file path=xl/ctrlProps/ctrlProp4.xml><?xml version="1.0" encoding="utf-8"?>
<formControlPr xmlns="http://schemas.microsoft.com/office/spreadsheetml/2009/9/main" objectType="Radio" firstButton="1" fmlaLink="$M$19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9</xdr:col>
          <xdr:colOff>182880</xdr:colOff>
          <xdr:row>9</xdr:row>
          <xdr:rowOff>190500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11</xdr:row>
          <xdr:rowOff>7620</xdr:rowOff>
        </xdr:from>
        <xdr:to>
          <xdr:col>9</xdr:col>
          <xdr:colOff>182880</xdr:colOff>
          <xdr:row>12</xdr:row>
          <xdr:rowOff>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12</xdr:row>
          <xdr:rowOff>190500</xdr:rowOff>
        </xdr:from>
        <xdr:to>
          <xdr:col>9</xdr:col>
          <xdr:colOff>182880</xdr:colOff>
          <xdr:row>13</xdr:row>
          <xdr:rowOff>190500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17</xdr:row>
          <xdr:rowOff>160020</xdr:rowOff>
        </xdr:from>
        <xdr:to>
          <xdr:col>4</xdr:col>
          <xdr:colOff>396240</xdr:colOff>
          <xdr:row>19</xdr:row>
          <xdr:rowOff>30480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19</xdr:row>
          <xdr:rowOff>152400</xdr:rowOff>
        </xdr:from>
        <xdr:to>
          <xdr:col>4</xdr:col>
          <xdr:colOff>396240</xdr:colOff>
          <xdr:row>21</xdr:row>
          <xdr:rowOff>22860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22</xdr:row>
          <xdr:rowOff>152400</xdr:rowOff>
        </xdr:from>
        <xdr:to>
          <xdr:col>10</xdr:col>
          <xdr:colOff>15240</xdr:colOff>
          <xdr:row>24</xdr:row>
          <xdr:rowOff>106680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Aptos"/>
                </a:rPr>
                <a:t>Loan Ammortization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28864</xdr:colOff>
      <xdr:row>23</xdr:row>
      <xdr:rowOff>115455</xdr:rowOff>
    </xdr:from>
    <xdr:to>
      <xdr:col>10</xdr:col>
      <xdr:colOff>583045</xdr:colOff>
      <xdr:row>23</xdr:row>
      <xdr:rowOff>115455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35DD042-8949-8309-080C-76CA0F4DD9E4}"/>
            </a:ext>
          </a:extLst>
        </xdr:cNvPr>
        <xdr:cNvCxnSpPr/>
      </xdr:nvCxnSpPr>
      <xdr:spPr>
        <a:xfrm flipH="1">
          <a:off x="6592455" y="4473864"/>
          <a:ext cx="554181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623034</xdr:colOff>
          <xdr:row>1</xdr:row>
          <xdr:rowOff>63509</xdr:rowOff>
        </xdr:from>
        <xdr:to>
          <xdr:col>8</xdr:col>
          <xdr:colOff>528063</xdr:colOff>
          <xdr:row>8</xdr:row>
          <xdr:rowOff>382611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0A8E0FB-FDF8-7153-38C3-8E2E9CC095D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matted EMI Schedule'!$D$6:$K$25" spid="_x0000_s53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435710" y="724656"/>
              <a:ext cx="6303588" cy="49471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EB7AAFD-CACA-43BC-9DA0-6EABB8434556}">
  <we:reference id="wa200007447" version="1.0.0.0" store="en-US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917DB-2C19-4BA3-B3DA-590E1893C183}">
  <sheetPr codeName="Sheet4"/>
  <dimension ref="B1:P36"/>
  <sheetViews>
    <sheetView showGridLines="0" showRowColHeaders="0" tabSelected="1" zoomScale="116" zoomScaleNormal="100" workbookViewId="0"/>
  </sheetViews>
  <sheetFormatPr defaultRowHeight="14.4" x14ac:dyDescent="0.3"/>
  <cols>
    <col min="1" max="8" width="8.88671875" style="1"/>
    <col min="9" max="9" width="17.21875" style="1" bestFit="1" customWidth="1"/>
    <col min="10" max="12" width="8.88671875" style="1"/>
    <col min="13" max="13" width="6.5546875" style="1" bestFit="1" customWidth="1"/>
    <col min="14" max="15" width="8.88671875" style="1"/>
    <col min="16" max="16" width="10.33203125" style="1" bestFit="1" customWidth="1"/>
    <col min="17" max="16384" width="8.88671875" style="1"/>
  </cols>
  <sheetData>
    <row r="1" spans="4:16" x14ac:dyDescent="0.3">
      <c r="M1" s="22"/>
    </row>
    <row r="2" spans="4:16" x14ac:dyDescent="0.3">
      <c r="M2" s="22"/>
    </row>
    <row r="3" spans="4:16" x14ac:dyDescent="0.3">
      <c r="M3" s="22"/>
    </row>
    <row r="4" spans="4:16" x14ac:dyDescent="0.3">
      <c r="M4" s="22"/>
    </row>
    <row r="5" spans="4:16" ht="15" thickBot="1" x14ac:dyDescent="0.35">
      <c r="M5" s="20"/>
    </row>
    <row r="6" spans="4:16" x14ac:dyDescent="0.3">
      <c r="D6" s="2"/>
      <c r="E6" s="3"/>
      <c r="F6" s="3"/>
      <c r="G6" s="3"/>
      <c r="H6" s="3"/>
      <c r="I6" s="3"/>
      <c r="J6" s="3"/>
      <c r="K6" s="4"/>
      <c r="M6" s="20"/>
    </row>
    <row r="7" spans="4:16" ht="15" thickBot="1" x14ac:dyDescent="0.35">
      <c r="D7" s="5"/>
      <c r="E7" s="6"/>
      <c r="F7" s="6"/>
      <c r="G7" s="6"/>
      <c r="H7" s="6"/>
      <c r="I7" s="6"/>
      <c r="J7" s="6"/>
      <c r="K7" s="7"/>
      <c r="M7" s="20"/>
    </row>
    <row r="8" spans="4:16" ht="16.2" thickBot="1" x14ac:dyDescent="0.35">
      <c r="D8" s="5"/>
      <c r="E8" s="25" t="s">
        <v>4</v>
      </c>
      <c r="F8" s="26"/>
      <c r="G8" s="26"/>
      <c r="H8" s="26"/>
      <c r="I8" s="26"/>
      <c r="J8" s="27"/>
      <c r="K8" s="7"/>
      <c r="M8" s="20"/>
    </row>
    <row r="9" spans="4:16" ht="15" thickBot="1" x14ac:dyDescent="0.35">
      <c r="D9" s="5"/>
      <c r="E9" s="6"/>
      <c r="F9" s="6"/>
      <c r="G9" s="6"/>
      <c r="H9" s="6"/>
      <c r="I9" s="6"/>
      <c r="J9" s="6"/>
      <c r="K9" s="7"/>
      <c r="L9" s="1" t="s">
        <v>11</v>
      </c>
      <c r="M9" s="20"/>
    </row>
    <row r="10" spans="4:16" ht="15" thickBot="1" x14ac:dyDescent="0.35">
      <c r="D10" s="5"/>
      <c r="E10" s="6"/>
      <c r="F10" s="12" t="s">
        <v>3</v>
      </c>
      <c r="G10" s="6"/>
      <c r="H10" s="6"/>
      <c r="I10" s="14">
        <f>M10*10000</f>
        <v>4000000</v>
      </c>
      <c r="J10" s="32"/>
      <c r="K10" s="33"/>
      <c r="M10" s="20">
        <v>400</v>
      </c>
      <c r="N10" s="22"/>
    </row>
    <row r="11" spans="4:16" ht="15" thickBot="1" x14ac:dyDescent="0.35">
      <c r="D11" s="5"/>
      <c r="E11" s="6"/>
      <c r="F11" s="6"/>
      <c r="G11" s="6"/>
      <c r="H11" s="6"/>
      <c r="I11" s="6"/>
      <c r="J11" s="6"/>
      <c r="K11" s="7"/>
      <c r="M11" s="20"/>
    </row>
    <row r="12" spans="4:16" ht="15" thickBot="1" x14ac:dyDescent="0.35">
      <c r="D12" s="5"/>
      <c r="E12" s="6"/>
      <c r="F12" s="12" t="s">
        <v>5</v>
      </c>
      <c r="G12" s="6"/>
      <c r="H12" s="6"/>
      <c r="I12" s="11">
        <f>M12/2</f>
        <v>10</v>
      </c>
      <c r="J12" s="6"/>
      <c r="K12" s="7"/>
      <c r="M12" s="20">
        <v>20</v>
      </c>
      <c r="P12" s="16"/>
    </row>
    <row r="13" spans="4:16" ht="15" thickBot="1" x14ac:dyDescent="0.35">
      <c r="D13" s="5"/>
      <c r="E13" s="6"/>
      <c r="F13" s="6"/>
      <c r="G13" s="6"/>
      <c r="H13" s="6"/>
      <c r="I13" s="6"/>
      <c r="J13" s="6"/>
      <c r="K13" s="7"/>
      <c r="M13" s="20"/>
    </row>
    <row r="14" spans="4:16" ht="15" thickBot="1" x14ac:dyDescent="0.35">
      <c r="D14" s="5"/>
      <c r="E14" s="6"/>
      <c r="F14" s="28" t="s">
        <v>6</v>
      </c>
      <c r="G14" s="28"/>
      <c r="H14" s="6"/>
      <c r="I14" s="11">
        <f>M14/100</f>
        <v>6.8</v>
      </c>
      <c r="J14" s="6"/>
      <c r="K14" s="7"/>
      <c r="L14" s="20"/>
      <c r="M14" s="21">
        <v>680</v>
      </c>
    </row>
    <row r="15" spans="4:16" x14ac:dyDescent="0.3">
      <c r="D15" s="5"/>
      <c r="E15" s="6"/>
      <c r="F15" s="6"/>
      <c r="G15" s="6"/>
      <c r="H15" s="6"/>
      <c r="I15" s="6"/>
      <c r="J15" s="6"/>
      <c r="K15" s="7"/>
      <c r="M15" s="20"/>
    </row>
    <row r="16" spans="4:16" ht="15" thickBot="1" x14ac:dyDescent="0.35">
      <c r="D16" s="5"/>
      <c r="E16" s="6"/>
      <c r="F16" s="6"/>
      <c r="G16" s="6"/>
      <c r="H16" s="6"/>
      <c r="I16" s="6"/>
      <c r="J16" s="6"/>
      <c r="K16" s="7"/>
      <c r="M16" s="20"/>
    </row>
    <row r="17" spans="2:14" ht="15" thickBot="1" x14ac:dyDescent="0.35">
      <c r="D17" s="5"/>
      <c r="E17" s="29" t="s">
        <v>16</v>
      </c>
      <c r="F17" s="30"/>
      <c r="G17" s="30"/>
      <c r="H17" s="30"/>
      <c r="I17" s="30"/>
      <c r="J17" s="31"/>
      <c r="K17" s="7"/>
      <c r="M17" s="20"/>
    </row>
    <row r="18" spans="2:14" ht="15" thickBot="1" x14ac:dyDescent="0.35">
      <c r="D18" s="5"/>
      <c r="E18" s="5"/>
      <c r="F18" s="6"/>
      <c r="G18" s="6"/>
      <c r="H18" s="6"/>
      <c r="I18" s="6"/>
      <c r="J18" s="7"/>
      <c r="K18" s="7"/>
      <c r="M18" s="20"/>
    </row>
    <row r="19" spans="2:14" ht="15" thickBot="1" x14ac:dyDescent="0.35">
      <c r="B19" s="20"/>
      <c r="D19" s="5"/>
      <c r="E19" s="5"/>
      <c r="F19" s="12" t="s">
        <v>7</v>
      </c>
      <c r="G19" s="6"/>
      <c r="H19" s="6"/>
      <c r="I19" s="13" t="str">
        <f>IF(M19=1,PMT(I14%,I12,-I10,,0),"")</f>
        <v/>
      </c>
      <c r="J19" s="7"/>
      <c r="K19" s="7"/>
      <c r="M19" s="20">
        <v>2</v>
      </c>
    </row>
    <row r="20" spans="2:14" ht="15" thickBot="1" x14ac:dyDescent="0.35">
      <c r="D20" s="5"/>
      <c r="E20" s="5"/>
      <c r="F20" s="6"/>
      <c r="G20" s="6"/>
      <c r="H20" s="6"/>
      <c r="I20" s="6"/>
      <c r="J20" s="7"/>
      <c r="K20" s="7"/>
      <c r="M20" s="20"/>
    </row>
    <row r="21" spans="2:14" ht="15" thickBot="1" x14ac:dyDescent="0.35">
      <c r="D21" s="5"/>
      <c r="E21" s="5"/>
      <c r="F21" s="12" t="s">
        <v>8</v>
      </c>
      <c r="G21" s="6"/>
      <c r="H21" s="6"/>
      <c r="I21" s="13">
        <f>IF(M19=2,PMT(I14%/12,I12*12,-I10,,0),"")</f>
        <v>46032.132072845008</v>
      </c>
      <c r="J21" s="7"/>
      <c r="K21" s="7"/>
      <c r="M21" s="20"/>
    </row>
    <row r="22" spans="2:14" ht="15" thickBot="1" x14ac:dyDescent="0.35">
      <c r="D22" s="5"/>
      <c r="E22" s="8"/>
      <c r="F22" s="9"/>
      <c r="G22" s="9"/>
      <c r="H22" s="9"/>
      <c r="I22" s="9"/>
      <c r="J22" s="10"/>
      <c r="K22" s="7"/>
      <c r="M22" s="20"/>
    </row>
    <row r="23" spans="2:14" x14ac:dyDescent="0.3">
      <c r="D23" s="5"/>
      <c r="E23" s="6"/>
      <c r="F23" s="6"/>
      <c r="G23" s="6"/>
      <c r="H23" s="6"/>
      <c r="I23" s="6"/>
      <c r="J23" s="6"/>
      <c r="K23" s="7"/>
      <c r="M23" s="20"/>
    </row>
    <row r="24" spans="2:14" x14ac:dyDescent="0.3">
      <c r="D24" s="5"/>
      <c r="E24" s="6"/>
      <c r="F24" s="6"/>
      <c r="G24" s="6"/>
      <c r="H24" s="6"/>
      <c r="I24" s="6"/>
      <c r="J24" s="6"/>
      <c r="K24" s="7"/>
      <c r="L24" s="34" t="s">
        <v>17</v>
      </c>
      <c r="M24" s="35"/>
      <c r="N24" s="35"/>
    </row>
    <row r="25" spans="2:14" ht="15" thickBot="1" x14ac:dyDescent="0.35">
      <c r="D25" s="8"/>
      <c r="E25" s="9"/>
      <c r="F25" s="9"/>
      <c r="G25" s="9"/>
      <c r="H25" s="9"/>
      <c r="I25" s="9"/>
      <c r="J25" s="9"/>
      <c r="K25" s="10"/>
      <c r="L25" s="34"/>
      <c r="M25" s="35"/>
      <c r="N25" s="35"/>
    </row>
    <row r="26" spans="2:14" x14ac:dyDescent="0.3">
      <c r="M26" s="20"/>
    </row>
    <row r="27" spans="2:14" x14ac:dyDescent="0.3">
      <c r="M27" s="22"/>
    </row>
    <row r="28" spans="2:14" x14ac:dyDescent="0.3">
      <c r="M28" s="22"/>
    </row>
    <row r="29" spans="2:14" x14ac:dyDescent="0.3">
      <c r="M29" s="22"/>
    </row>
    <row r="30" spans="2:14" x14ac:dyDescent="0.3">
      <c r="M30" s="22"/>
    </row>
    <row r="31" spans="2:14" x14ac:dyDescent="0.3">
      <c r="M31" s="22"/>
    </row>
    <row r="32" spans="2:14" x14ac:dyDescent="0.3">
      <c r="M32" s="22"/>
    </row>
    <row r="33" spans="13:13" x14ac:dyDescent="0.3">
      <c r="M33" s="22"/>
    </row>
    <row r="34" spans="13:13" x14ac:dyDescent="0.3">
      <c r="M34" s="22"/>
    </row>
    <row r="35" spans="13:13" x14ac:dyDescent="0.3">
      <c r="M35" s="22"/>
    </row>
    <row r="36" spans="13:13" x14ac:dyDescent="0.3">
      <c r="M36" s="22"/>
    </row>
  </sheetData>
  <mergeCells count="5">
    <mergeCell ref="E8:J8"/>
    <mergeCell ref="F14:G14"/>
    <mergeCell ref="E17:J17"/>
    <mergeCell ref="J10:K10"/>
    <mergeCell ref="L24:N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Spinner 3">
              <controlPr defaultSize="0" autoPict="0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9</xdr:col>
                    <xdr:colOff>182880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Spinner 4">
              <controlPr defaultSize="0" autoPict="0">
                <anchor moveWithCells="1" sizeWithCells="1">
                  <from>
                    <xdr:col>9</xdr:col>
                    <xdr:colOff>7620</xdr:colOff>
                    <xdr:row>11</xdr:row>
                    <xdr:rowOff>7620</xdr:rowOff>
                  </from>
                  <to>
                    <xdr:col>9</xdr:col>
                    <xdr:colOff>182880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Pict="0">
                <anchor moveWithCells="1" sizeWithCells="1">
                  <from>
                    <xdr:col>9</xdr:col>
                    <xdr:colOff>7620</xdr:colOff>
                    <xdr:row>12</xdr:row>
                    <xdr:rowOff>190500</xdr:rowOff>
                  </from>
                  <to>
                    <xdr:col>9</xdr:col>
                    <xdr:colOff>182880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>
                <anchor moveWithCells="1">
                  <from>
                    <xdr:col>4</xdr:col>
                    <xdr:colOff>160020</xdr:colOff>
                    <xdr:row>17</xdr:row>
                    <xdr:rowOff>160020</xdr:rowOff>
                  </from>
                  <to>
                    <xdr:col>4</xdr:col>
                    <xdr:colOff>396240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Option Button 9">
              <controlPr defaultSize="0" autoFill="0" autoLine="0" autoPict="0">
                <anchor moveWithCells="1">
                  <from>
                    <xdr:col>4</xdr:col>
                    <xdr:colOff>160020</xdr:colOff>
                    <xdr:row>19</xdr:row>
                    <xdr:rowOff>152400</xdr:rowOff>
                  </from>
                  <to>
                    <xdr:col>4</xdr:col>
                    <xdr:colOff>396240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EMI_SCHEDULE_CALCULATOR">
                <anchor moveWithCells="1" sizeWithCells="1">
                  <from>
                    <xdr:col>4</xdr:col>
                    <xdr:colOff>7620</xdr:colOff>
                    <xdr:row>22</xdr:row>
                    <xdr:rowOff>152400</xdr:rowOff>
                  </from>
                  <to>
                    <xdr:col>10</xdr:col>
                    <xdr:colOff>15240</xdr:colOff>
                    <xdr:row>24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FBBDB-9550-4364-9098-503FCCAA498D}">
  <sheetPr codeName="Sheet5"/>
  <dimension ref="A1:P130"/>
  <sheetViews>
    <sheetView showGridLines="0" showRowColHeaders="0" zoomScale="61" zoomScaleNormal="62" workbookViewId="0">
      <selection activeCell="O4" sqref="O4:P4"/>
    </sheetView>
  </sheetViews>
  <sheetFormatPr defaultRowHeight="14.4" x14ac:dyDescent="0.3"/>
  <cols>
    <col min="1" max="3" width="8.88671875" style="15"/>
    <col min="4" max="4" width="14.5546875" style="15" customWidth="1"/>
    <col min="5" max="5" width="25.77734375" style="15" bestFit="1" customWidth="1"/>
    <col min="6" max="6" width="26.44140625" style="15" bestFit="1" customWidth="1"/>
    <col min="7" max="7" width="25.77734375" style="15" bestFit="1" customWidth="1"/>
    <col min="8" max="8" width="15.21875" style="15" bestFit="1" customWidth="1"/>
    <col min="9" max="9" width="25.77734375" style="15" bestFit="1" customWidth="1"/>
    <col min="10" max="10" width="14.77734375" style="15" customWidth="1"/>
    <col min="11" max="11" width="13.21875" style="15" bestFit="1" customWidth="1"/>
    <col min="12" max="16384" width="8.88671875" style="15"/>
  </cols>
  <sheetData>
    <row r="1" spans="1:16" ht="52.2" customHeight="1" x14ac:dyDescent="0.3">
      <c r="A1" s="23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6" ht="52.2" customHeight="1" x14ac:dyDescent="0.3">
      <c r="A2" s="23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</row>
    <row r="3" spans="1:16" ht="52.2" customHeight="1" x14ac:dyDescent="0.3">
      <c r="A3" s="23"/>
      <c r="B3" s="21"/>
      <c r="C3" s="21"/>
      <c r="D3" s="21" t="s">
        <v>3</v>
      </c>
      <c r="E3" s="21"/>
      <c r="F3" s="21"/>
      <c r="G3" s="21"/>
      <c r="H3" s="24">
        <f>'Formatted EMI Schedule'!I10</f>
        <v>4000000</v>
      </c>
      <c r="I3" s="21"/>
      <c r="J3" s="21"/>
      <c r="K3" s="21"/>
      <c r="L3" s="21"/>
      <c r="M3" s="21"/>
    </row>
    <row r="4" spans="1:16" ht="52.2" customHeight="1" x14ac:dyDescent="0.3">
      <c r="A4" s="23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O4" s="37" t="s">
        <v>15</v>
      </c>
      <c r="P4" s="37"/>
    </row>
    <row r="5" spans="1:16" ht="52.2" customHeight="1" x14ac:dyDescent="0.3">
      <c r="A5" s="23"/>
      <c r="B5" s="21"/>
      <c r="C5" s="21"/>
      <c r="D5" s="21" t="s">
        <v>5</v>
      </c>
      <c r="E5" s="21"/>
      <c r="F5" s="21"/>
      <c r="G5" s="21"/>
      <c r="H5" s="21">
        <f>'Formatted EMI Schedule'!I12</f>
        <v>10</v>
      </c>
      <c r="I5" s="21"/>
      <c r="J5" s="21" t="s">
        <v>0</v>
      </c>
      <c r="K5" s="24">
        <f>IF(K7=2,'Formatted EMI Schedule'!I21,'Formatted EMI Schedule'!I19)</f>
        <v>46032.132072845008</v>
      </c>
      <c r="L5" s="21"/>
      <c r="M5" s="21"/>
    </row>
    <row r="6" spans="1:16" ht="52.2" customHeight="1" x14ac:dyDescent="0.3">
      <c r="A6" s="23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</row>
    <row r="7" spans="1:16" ht="52.2" customHeight="1" x14ac:dyDescent="0.3">
      <c r="A7" s="23"/>
      <c r="B7" s="21"/>
      <c r="C7" s="21"/>
      <c r="D7" s="36" t="s">
        <v>9</v>
      </c>
      <c r="E7" s="36"/>
      <c r="F7" s="21"/>
      <c r="G7" s="21"/>
      <c r="H7" s="21">
        <f>'Formatted EMI Schedule'!I14</f>
        <v>6.8</v>
      </c>
      <c r="I7" s="21"/>
      <c r="J7" s="21" t="s">
        <v>10</v>
      </c>
      <c r="K7" s="21">
        <f>'Formatted EMI Schedule'!M19</f>
        <v>2</v>
      </c>
      <c r="L7" s="21"/>
      <c r="M7" s="21"/>
    </row>
    <row r="8" spans="1:16" ht="52.2" customHeight="1" x14ac:dyDescent="0.3">
      <c r="A8" s="23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</row>
    <row r="9" spans="1:16" ht="52.2" customHeight="1" x14ac:dyDescent="0.3">
      <c r="A9" s="21"/>
      <c r="B9" s="21"/>
      <c r="C9" s="21"/>
      <c r="D9" s="21"/>
      <c r="E9" s="21"/>
      <c r="F9" s="21"/>
      <c r="G9" s="21"/>
      <c r="H9" s="21"/>
      <c r="I9" s="21">
        <f>22*12</f>
        <v>264</v>
      </c>
      <c r="J9" s="21"/>
      <c r="K9" s="21"/>
      <c r="L9" s="21"/>
      <c r="M9" s="21"/>
    </row>
    <row r="10" spans="1:16" x14ac:dyDescent="0.3">
      <c r="D10" s="17" t="s">
        <v>2</v>
      </c>
      <c r="E10" s="17" t="s">
        <v>13</v>
      </c>
      <c r="F10" s="17" t="s">
        <v>12</v>
      </c>
      <c r="G10" s="17" t="s">
        <v>1</v>
      </c>
      <c r="H10" s="17" t="s">
        <v>0</v>
      </c>
      <c r="I10" s="17" t="s">
        <v>14</v>
      </c>
    </row>
    <row r="11" spans="1:16" x14ac:dyDescent="0.3">
      <c r="D11" s="19">
        <v>1</v>
      </c>
      <c r="E11" s="18">
        <f>H3</f>
        <v>4000000</v>
      </c>
      <c r="F11" s="18">
        <f>H11-G11</f>
        <v>23365.46540617834</v>
      </c>
      <c r="G11" s="18">
        <f>IF($K$7=1,E11*$H$7%,E11*$H$7%/12)</f>
        <v>22666.666666666668</v>
      </c>
      <c r="H11" s="18">
        <f>$K$5</f>
        <v>46032.132072845008</v>
      </c>
      <c r="I11" s="18">
        <f>E11-F11</f>
        <v>3976634.5345938215</v>
      </c>
    </row>
    <row r="12" spans="1:16" x14ac:dyDescent="0.3">
      <c r="D12" s="19">
        <v>2</v>
      </c>
      <c r="E12" s="18">
        <f>I11</f>
        <v>3976634.5345938215</v>
      </c>
      <c r="F12" s="18">
        <f>H12-G12</f>
        <v>23497.869710146682</v>
      </c>
      <c r="G12" s="18">
        <f>IF($K$7=1,E12*$H$7%,E12*$H$7%/12)</f>
        <v>22534.262362698326</v>
      </c>
      <c r="H12" s="18">
        <f>$K$5</f>
        <v>46032.132072845008</v>
      </c>
      <c r="I12" s="18">
        <f>E12-F12</f>
        <v>3953136.6648836751</v>
      </c>
    </row>
    <row r="13" spans="1:16" x14ac:dyDescent="0.3">
      <c r="D13" s="19">
        <v>3</v>
      </c>
      <c r="E13" s="18">
        <f t="shared" ref="E13:E76" si="0">I12</f>
        <v>3953136.6648836751</v>
      </c>
      <c r="F13" s="18">
        <f t="shared" ref="F13:F76" si="1">H13-G13</f>
        <v>23631.024305170849</v>
      </c>
      <c r="G13" s="18">
        <f t="shared" ref="G13:G76" si="2">IF($K$7=1,E13*$H$7%,E13*$H$7%/12)</f>
        <v>22401.107767674159</v>
      </c>
      <c r="H13" s="18">
        <f t="shared" ref="H13:H76" si="3">$K$5</f>
        <v>46032.132072845008</v>
      </c>
      <c r="I13" s="18">
        <f t="shared" ref="I13:I76" si="4">E13-F13</f>
        <v>3929505.6405785042</v>
      </c>
    </row>
    <row r="14" spans="1:16" x14ac:dyDescent="0.3">
      <c r="D14" s="19">
        <v>4</v>
      </c>
      <c r="E14" s="18">
        <f t="shared" si="0"/>
        <v>3929505.6405785042</v>
      </c>
      <c r="F14" s="18">
        <f t="shared" si="1"/>
        <v>23764.93344290015</v>
      </c>
      <c r="G14" s="18">
        <f t="shared" si="2"/>
        <v>22267.198629944858</v>
      </c>
      <c r="H14" s="18">
        <f t="shared" si="3"/>
        <v>46032.132072845008</v>
      </c>
      <c r="I14" s="18">
        <f t="shared" si="4"/>
        <v>3905740.7071356042</v>
      </c>
    </row>
    <row r="15" spans="1:16" x14ac:dyDescent="0.3">
      <c r="D15" s="19">
        <v>5</v>
      </c>
      <c r="E15" s="18">
        <f t="shared" si="0"/>
        <v>3905740.7071356042</v>
      </c>
      <c r="F15" s="18">
        <f t="shared" si="1"/>
        <v>23899.601399076582</v>
      </c>
      <c r="G15" s="18">
        <f t="shared" si="2"/>
        <v>22132.530673768426</v>
      </c>
      <c r="H15" s="18">
        <f t="shared" si="3"/>
        <v>46032.132072845008</v>
      </c>
      <c r="I15" s="18">
        <f t="shared" si="4"/>
        <v>3881841.1057365276</v>
      </c>
    </row>
    <row r="16" spans="1:16" x14ac:dyDescent="0.3">
      <c r="D16" s="19">
        <v>6</v>
      </c>
      <c r="E16" s="18">
        <f t="shared" si="0"/>
        <v>3881841.1057365276</v>
      </c>
      <c r="F16" s="18">
        <f t="shared" si="1"/>
        <v>24035.032473671352</v>
      </c>
      <c r="G16" s="18">
        <f t="shared" si="2"/>
        <v>21997.099599173656</v>
      </c>
      <c r="H16" s="18">
        <f t="shared" si="3"/>
        <v>46032.132072845008</v>
      </c>
      <c r="I16" s="18">
        <f t="shared" si="4"/>
        <v>3857806.0732628563</v>
      </c>
    </row>
    <row r="17" spans="4:9" x14ac:dyDescent="0.3">
      <c r="D17" s="19">
        <v>7</v>
      </c>
      <c r="E17" s="18">
        <f t="shared" si="0"/>
        <v>3857806.0732628563</v>
      </c>
      <c r="F17" s="18">
        <f t="shared" si="1"/>
        <v>24171.230991022152</v>
      </c>
      <c r="G17" s="18">
        <f t="shared" si="2"/>
        <v>21860.901081822856</v>
      </c>
      <c r="H17" s="18">
        <f t="shared" si="3"/>
        <v>46032.132072845008</v>
      </c>
      <c r="I17" s="18">
        <f t="shared" si="4"/>
        <v>3833634.8422718341</v>
      </c>
    </row>
    <row r="18" spans="4:9" x14ac:dyDescent="0.3">
      <c r="D18" s="19">
        <v>8</v>
      </c>
      <c r="E18" s="18">
        <f t="shared" si="0"/>
        <v>3833634.8422718341</v>
      </c>
      <c r="F18" s="18">
        <f t="shared" si="1"/>
        <v>24308.201299971279</v>
      </c>
      <c r="G18" s="18">
        <f t="shared" si="2"/>
        <v>21723.930772873729</v>
      </c>
      <c r="H18" s="18">
        <f t="shared" si="3"/>
        <v>46032.132072845008</v>
      </c>
      <c r="I18" s="18">
        <f t="shared" si="4"/>
        <v>3809326.6409718627</v>
      </c>
    </row>
    <row r="19" spans="4:9" x14ac:dyDescent="0.3">
      <c r="D19" s="19">
        <v>9</v>
      </c>
      <c r="E19" s="18">
        <f t="shared" si="0"/>
        <v>3809326.6409718627</v>
      </c>
      <c r="F19" s="18">
        <f t="shared" si="1"/>
        <v>24445.947774004449</v>
      </c>
      <c r="G19" s="18">
        <f t="shared" si="2"/>
        <v>21586.184298840559</v>
      </c>
      <c r="H19" s="18">
        <f t="shared" si="3"/>
        <v>46032.132072845008</v>
      </c>
      <c r="I19" s="18">
        <f t="shared" si="4"/>
        <v>3784880.6931978581</v>
      </c>
    </row>
    <row r="20" spans="4:9" x14ac:dyDescent="0.3">
      <c r="D20" s="19">
        <v>10</v>
      </c>
      <c r="E20" s="18">
        <f t="shared" si="0"/>
        <v>3784880.6931978581</v>
      </c>
      <c r="F20" s="18">
        <f t="shared" si="1"/>
        <v>24584.474811390479</v>
      </c>
      <c r="G20" s="18">
        <f t="shared" si="2"/>
        <v>21447.657261454529</v>
      </c>
      <c r="H20" s="18">
        <f t="shared" si="3"/>
        <v>46032.132072845008</v>
      </c>
      <c r="I20" s="18">
        <f t="shared" si="4"/>
        <v>3760296.2183864675</v>
      </c>
    </row>
    <row r="21" spans="4:9" x14ac:dyDescent="0.3">
      <c r="D21" s="19">
        <v>11</v>
      </c>
      <c r="E21" s="18">
        <f t="shared" si="0"/>
        <v>3760296.2183864675</v>
      </c>
      <c r="F21" s="18">
        <f t="shared" si="1"/>
        <v>24723.786835321691</v>
      </c>
      <c r="G21" s="18">
        <f t="shared" si="2"/>
        <v>21308.345237523317</v>
      </c>
      <c r="H21" s="18">
        <f t="shared" si="3"/>
        <v>46032.132072845008</v>
      </c>
      <c r="I21" s="18">
        <f t="shared" si="4"/>
        <v>3735572.4315511459</v>
      </c>
    </row>
    <row r="22" spans="4:9" x14ac:dyDescent="0.3">
      <c r="D22" s="19">
        <v>12</v>
      </c>
      <c r="E22" s="18">
        <f t="shared" si="0"/>
        <v>3735572.4315511459</v>
      </c>
      <c r="F22" s="18">
        <f t="shared" si="1"/>
        <v>24863.888294055181</v>
      </c>
      <c r="G22" s="18">
        <f t="shared" si="2"/>
        <v>21168.243778789827</v>
      </c>
      <c r="H22" s="18">
        <f t="shared" si="3"/>
        <v>46032.132072845008</v>
      </c>
      <c r="I22" s="18">
        <f t="shared" si="4"/>
        <v>3710708.5432570907</v>
      </c>
    </row>
    <row r="23" spans="4:9" x14ac:dyDescent="0.3">
      <c r="D23" s="19">
        <v>13</v>
      </c>
      <c r="E23" s="18">
        <f t="shared" si="0"/>
        <v>3710708.5432570907</v>
      </c>
      <c r="F23" s="18">
        <f t="shared" si="1"/>
        <v>25004.783661054826</v>
      </c>
      <c r="G23" s="18">
        <f t="shared" si="2"/>
        <v>21027.348411790183</v>
      </c>
      <c r="H23" s="18">
        <f t="shared" si="3"/>
        <v>46032.132072845008</v>
      </c>
      <c r="I23" s="18">
        <f t="shared" si="4"/>
        <v>3685703.7595960358</v>
      </c>
    </row>
    <row r="24" spans="4:9" x14ac:dyDescent="0.3">
      <c r="D24" s="19">
        <v>14</v>
      </c>
      <c r="E24" s="18">
        <f t="shared" si="0"/>
        <v>3685703.7595960358</v>
      </c>
      <c r="F24" s="18">
        <f t="shared" si="1"/>
        <v>25146.477435134137</v>
      </c>
      <c r="G24" s="18">
        <f t="shared" si="2"/>
        <v>20885.654637710872</v>
      </c>
      <c r="H24" s="18">
        <f t="shared" si="3"/>
        <v>46032.132072845008</v>
      </c>
      <c r="I24" s="18">
        <f t="shared" si="4"/>
        <v>3660557.2821609015</v>
      </c>
    </row>
    <row r="25" spans="4:9" x14ac:dyDescent="0.3">
      <c r="D25" s="19">
        <v>15</v>
      </c>
      <c r="E25" s="18">
        <f t="shared" si="0"/>
        <v>3660557.2821609015</v>
      </c>
      <c r="F25" s="18">
        <f t="shared" si="1"/>
        <v>25288.974140599898</v>
      </c>
      <c r="G25" s="18">
        <f t="shared" si="2"/>
        <v>20743.157932245111</v>
      </c>
      <c r="H25" s="18">
        <f t="shared" si="3"/>
        <v>46032.132072845008</v>
      </c>
      <c r="I25" s="18">
        <f t="shared" si="4"/>
        <v>3635268.3080203016</v>
      </c>
    </row>
    <row r="26" spans="4:9" x14ac:dyDescent="0.3">
      <c r="D26" s="19">
        <v>16</v>
      </c>
      <c r="E26" s="18">
        <f t="shared" si="0"/>
        <v>3635268.3080203016</v>
      </c>
      <c r="F26" s="18">
        <f t="shared" si="1"/>
        <v>25432.278327396631</v>
      </c>
      <c r="G26" s="18">
        <f t="shared" si="2"/>
        <v>20599.853745448378</v>
      </c>
      <c r="H26" s="18">
        <f t="shared" si="3"/>
        <v>46032.132072845008</v>
      </c>
      <c r="I26" s="18">
        <f t="shared" si="4"/>
        <v>3609836.029692905</v>
      </c>
    </row>
    <row r="27" spans="4:9" x14ac:dyDescent="0.3">
      <c r="D27" s="19">
        <v>17</v>
      </c>
      <c r="E27" s="18">
        <f t="shared" si="0"/>
        <v>3609836.029692905</v>
      </c>
      <c r="F27" s="18">
        <f t="shared" si="1"/>
        <v>25576.39457125188</v>
      </c>
      <c r="G27" s="18">
        <f t="shared" si="2"/>
        <v>20455.737501593128</v>
      </c>
      <c r="H27" s="18">
        <f t="shared" si="3"/>
        <v>46032.132072845008</v>
      </c>
      <c r="I27" s="18">
        <f t="shared" si="4"/>
        <v>3584259.6351216533</v>
      </c>
    </row>
    <row r="28" spans="4:9" x14ac:dyDescent="0.3">
      <c r="D28" s="19">
        <v>18</v>
      </c>
      <c r="E28" s="18">
        <f t="shared" si="0"/>
        <v>3584259.6351216533</v>
      </c>
      <c r="F28" s="18">
        <f t="shared" si="1"/>
        <v>25721.327473822304</v>
      </c>
      <c r="G28" s="18">
        <f t="shared" si="2"/>
        <v>20310.804599022704</v>
      </c>
      <c r="H28" s="18">
        <f t="shared" si="3"/>
        <v>46032.132072845008</v>
      </c>
      <c r="I28" s="18">
        <f t="shared" si="4"/>
        <v>3558538.3076478308</v>
      </c>
    </row>
    <row r="29" spans="4:9" x14ac:dyDescent="0.3">
      <c r="D29" s="19">
        <v>19</v>
      </c>
      <c r="E29" s="18">
        <f t="shared" si="0"/>
        <v>3558538.3076478308</v>
      </c>
      <c r="F29" s="18">
        <f t="shared" si="1"/>
        <v>25867.081662840632</v>
      </c>
      <c r="G29" s="18">
        <f t="shared" si="2"/>
        <v>20165.050410004376</v>
      </c>
      <c r="H29" s="18">
        <f t="shared" si="3"/>
        <v>46032.132072845008</v>
      </c>
      <c r="I29" s="18">
        <f t="shared" si="4"/>
        <v>3532671.2259849901</v>
      </c>
    </row>
    <row r="30" spans="4:9" x14ac:dyDescent="0.3">
      <c r="D30" s="19">
        <v>20</v>
      </c>
      <c r="E30" s="18">
        <f t="shared" si="0"/>
        <v>3532671.2259849901</v>
      </c>
      <c r="F30" s="18">
        <f t="shared" si="1"/>
        <v>26013.661792263396</v>
      </c>
      <c r="G30" s="18">
        <f t="shared" si="2"/>
        <v>20018.470280581612</v>
      </c>
      <c r="H30" s="18">
        <f t="shared" si="3"/>
        <v>46032.132072845008</v>
      </c>
      <c r="I30" s="18">
        <f t="shared" si="4"/>
        <v>3506657.5641927267</v>
      </c>
    </row>
    <row r="31" spans="4:9" x14ac:dyDescent="0.3">
      <c r="D31" s="19">
        <v>21</v>
      </c>
      <c r="E31" s="18">
        <f t="shared" si="0"/>
        <v>3506657.5641927267</v>
      </c>
      <c r="F31" s="18">
        <f t="shared" si="1"/>
        <v>26161.072542419555</v>
      </c>
      <c r="G31" s="18">
        <f t="shared" si="2"/>
        <v>19871.059530425453</v>
      </c>
      <c r="H31" s="18">
        <f t="shared" si="3"/>
        <v>46032.132072845008</v>
      </c>
      <c r="I31" s="18">
        <f t="shared" si="4"/>
        <v>3480496.4916503071</v>
      </c>
    </row>
    <row r="32" spans="4:9" x14ac:dyDescent="0.3">
      <c r="D32" s="19">
        <v>22</v>
      </c>
      <c r="E32" s="18">
        <f t="shared" si="0"/>
        <v>3480496.4916503071</v>
      </c>
      <c r="F32" s="18">
        <f t="shared" si="1"/>
        <v>26309.318620159935</v>
      </c>
      <c r="G32" s="18">
        <f t="shared" si="2"/>
        <v>19722.813452685074</v>
      </c>
      <c r="H32" s="18">
        <f t="shared" si="3"/>
        <v>46032.132072845008</v>
      </c>
      <c r="I32" s="18">
        <f t="shared" si="4"/>
        <v>3454187.1730301473</v>
      </c>
    </row>
    <row r="33" spans="4:9" x14ac:dyDescent="0.3">
      <c r="D33" s="19">
        <v>23</v>
      </c>
      <c r="E33" s="18">
        <f t="shared" si="0"/>
        <v>3454187.1730301473</v>
      </c>
      <c r="F33" s="18">
        <f t="shared" si="1"/>
        <v>26458.404759007506</v>
      </c>
      <c r="G33" s="18">
        <f t="shared" si="2"/>
        <v>19573.727313837502</v>
      </c>
      <c r="H33" s="18">
        <f t="shared" si="3"/>
        <v>46032.132072845008</v>
      </c>
      <c r="I33" s="18">
        <f t="shared" si="4"/>
        <v>3427728.7682711398</v>
      </c>
    </row>
    <row r="34" spans="4:9" x14ac:dyDescent="0.3">
      <c r="D34" s="19">
        <v>24</v>
      </c>
      <c r="E34" s="18">
        <f t="shared" si="0"/>
        <v>3427728.7682711398</v>
      </c>
      <c r="F34" s="18">
        <f t="shared" si="1"/>
        <v>26608.335719308547</v>
      </c>
      <c r="G34" s="18">
        <f t="shared" si="2"/>
        <v>19423.796353536462</v>
      </c>
      <c r="H34" s="18">
        <f t="shared" si="3"/>
        <v>46032.132072845008</v>
      </c>
      <c r="I34" s="18">
        <f t="shared" si="4"/>
        <v>3401120.4325518315</v>
      </c>
    </row>
    <row r="35" spans="4:9" x14ac:dyDescent="0.3">
      <c r="D35" s="19">
        <v>25</v>
      </c>
      <c r="E35" s="18">
        <f t="shared" si="0"/>
        <v>3401120.4325518315</v>
      </c>
      <c r="F35" s="18">
        <f t="shared" si="1"/>
        <v>26759.11628838463</v>
      </c>
      <c r="G35" s="18">
        <f t="shared" si="2"/>
        <v>19273.015784460378</v>
      </c>
      <c r="H35" s="18">
        <f t="shared" si="3"/>
        <v>46032.132072845008</v>
      </c>
      <c r="I35" s="18">
        <f t="shared" si="4"/>
        <v>3374361.3162634471</v>
      </c>
    </row>
    <row r="36" spans="4:9" x14ac:dyDescent="0.3">
      <c r="D36" s="19">
        <v>26</v>
      </c>
      <c r="E36" s="18">
        <f t="shared" si="0"/>
        <v>3374361.3162634471</v>
      </c>
      <c r="F36" s="18">
        <f t="shared" si="1"/>
        <v>26910.751280685476</v>
      </c>
      <c r="G36" s="18">
        <f t="shared" si="2"/>
        <v>19121.380792159533</v>
      </c>
      <c r="H36" s="18">
        <f t="shared" si="3"/>
        <v>46032.132072845008</v>
      </c>
      <c r="I36" s="18">
        <f t="shared" si="4"/>
        <v>3347450.5649827616</v>
      </c>
    </row>
    <row r="37" spans="4:9" x14ac:dyDescent="0.3">
      <c r="D37" s="19">
        <v>27</v>
      </c>
      <c r="E37" s="18">
        <f t="shared" si="0"/>
        <v>3347450.5649827616</v>
      </c>
      <c r="F37" s="18">
        <f t="shared" si="1"/>
        <v>27063.24553794269</v>
      </c>
      <c r="G37" s="18">
        <f t="shared" si="2"/>
        <v>18968.886534902318</v>
      </c>
      <c r="H37" s="18">
        <f t="shared" si="3"/>
        <v>46032.132072845008</v>
      </c>
      <c r="I37" s="18">
        <f t="shared" si="4"/>
        <v>3320387.3194448189</v>
      </c>
    </row>
    <row r="38" spans="4:9" x14ac:dyDescent="0.3">
      <c r="D38" s="19">
        <v>28</v>
      </c>
      <c r="E38" s="18">
        <f t="shared" si="0"/>
        <v>3320387.3194448189</v>
      </c>
      <c r="F38" s="18">
        <f t="shared" si="1"/>
        <v>27216.603929324367</v>
      </c>
      <c r="G38" s="18">
        <f t="shared" si="2"/>
        <v>18815.528143520642</v>
      </c>
      <c r="H38" s="18">
        <f t="shared" si="3"/>
        <v>46032.132072845008</v>
      </c>
      <c r="I38" s="18">
        <f t="shared" si="4"/>
        <v>3293170.7155154943</v>
      </c>
    </row>
    <row r="39" spans="4:9" x14ac:dyDescent="0.3">
      <c r="D39" s="19">
        <v>29</v>
      </c>
      <c r="E39" s="18">
        <f t="shared" si="0"/>
        <v>3293170.7155154943</v>
      </c>
      <c r="F39" s="18">
        <f t="shared" si="1"/>
        <v>27370.831351590539</v>
      </c>
      <c r="G39" s="18">
        <f t="shared" si="2"/>
        <v>18661.300721254469</v>
      </c>
      <c r="H39" s="18">
        <f t="shared" si="3"/>
        <v>46032.132072845008</v>
      </c>
      <c r="I39" s="18">
        <f t="shared" si="4"/>
        <v>3265799.884163904</v>
      </c>
    </row>
    <row r="40" spans="4:9" x14ac:dyDescent="0.3">
      <c r="D40" s="19">
        <v>30</v>
      </c>
      <c r="E40" s="18">
        <f t="shared" si="0"/>
        <v>3265799.884163904</v>
      </c>
      <c r="F40" s="18">
        <f t="shared" si="1"/>
        <v>27525.932729249551</v>
      </c>
      <c r="G40" s="18">
        <f t="shared" si="2"/>
        <v>18506.199343595457</v>
      </c>
      <c r="H40" s="18">
        <f t="shared" si="3"/>
        <v>46032.132072845008</v>
      </c>
      <c r="I40" s="18">
        <f t="shared" si="4"/>
        <v>3238273.9514346546</v>
      </c>
    </row>
    <row r="41" spans="4:9" x14ac:dyDescent="0.3">
      <c r="D41" s="19">
        <v>31</v>
      </c>
      <c r="E41" s="18">
        <f t="shared" si="0"/>
        <v>3238273.9514346546</v>
      </c>
      <c r="F41" s="18">
        <f t="shared" si="1"/>
        <v>27681.913014715297</v>
      </c>
      <c r="G41" s="18">
        <f t="shared" si="2"/>
        <v>18350.219058129711</v>
      </c>
      <c r="H41" s="18">
        <f t="shared" si="3"/>
        <v>46032.132072845008</v>
      </c>
      <c r="I41" s="18">
        <f t="shared" si="4"/>
        <v>3210592.0384199396</v>
      </c>
    </row>
    <row r="42" spans="4:9" x14ac:dyDescent="0.3">
      <c r="D42" s="19">
        <v>32</v>
      </c>
      <c r="E42" s="18">
        <f t="shared" si="0"/>
        <v>3210592.0384199396</v>
      </c>
      <c r="F42" s="18">
        <f t="shared" si="1"/>
        <v>27838.777188465348</v>
      </c>
      <c r="G42" s="18">
        <f t="shared" si="2"/>
        <v>18193.35488437966</v>
      </c>
      <c r="H42" s="18">
        <f t="shared" si="3"/>
        <v>46032.132072845008</v>
      </c>
      <c r="I42" s="18">
        <f t="shared" si="4"/>
        <v>3182753.2612314741</v>
      </c>
    </row>
    <row r="43" spans="4:9" x14ac:dyDescent="0.3">
      <c r="D43" s="19">
        <v>33</v>
      </c>
      <c r="E43" s="18">
        <f t="shared" si="0"/>
        <v>3182753.2612314741</v>
      </c>
      <c r="F43" s="18">
        <f t="shared" si="1"/>
        <v>27996.530259199986</v>
      </c>
      <c r="G43" s="18">
        <f t="shared" si="2"/>
        <v>18035.601813645022</v>
      </c>
      <c r="H43" s="18">
        <f t="shared" si="3"/>
        <v>46032.132072845008</v>
      </c>
      <c r="I43" s="18">
        <f t="shared" si="4"/>
        <v>3154756.7309722742</v>
      </c>
    </row>
    <row r="44" spans="4:9" x14ac:dyDescent="0.3">
      <c r="D44" s="19">
        <v>34</v>
      </c>
      <c r="E44" s="18">
        <f t="shared" si="0"/>
        <v>3154756.7309722742</v>
      </c>
      <c r="F44" s="18">
        <f t="shared" si="1"/>
        <v>28155.177264002119</v>
      </c>
      <c r="G44" s="18">
        <f t="shared" si="2"/>
        <v>17876.954808842889</v>
      </c>
      <c r="H44" s="18">
        <f t="shared" si="3"/>
        <v>46032.132072845008</v>
      </c>
      <c r="I44" s="18">
        <f t="shared" si="4"/>
        <v>3126601.5537082721</v>
      </c>
    </row>
    <row r="45" spans="4:9" x14ac:dyDescent="0.3">
      <c r="D45" s="19">
        <v>35</v>
      </c>
      <c r="E45" s="18">
        <f t="shared" si="0"/>
        <v>3126601.5537082721</v>
      </c>
      <c r="F45" s="18">
        <f t="shared" si="1"/>
        <v>28314.723268498132</v>
      </c>
      <c r="G45" s="18">
        <f t="shared" si="2"/>
        <v>17717.408804346876</v>
      </c>
      <c r="H45" s="18">
        <f t="shared" si="3"/>
        <v>46032.132072845008</v>
      </c>
      <c r="I45" s="18">
        <f t="shared" si="4"/>
        <v>3098286.8304397739</v>
      </c>
    </row>
    <row r="46" spans="4:9" x14ac:dyDescent="0.3">
      <c r="D46" s="19">
        <v>36</v>
      </c>
      <c r="E46" s="18">
        <f t="shared" si="0"/>
        <v>3098286.8304397739</v>
      </c>
      <c r="F46" s="18">
        <f t="shared" si="1"/>
        <v>28475.173367019623</v>
      </c>
      <c r="G46" s="18">
        <f t="shared" si="2"/>
        <v>17556.958705825386</v>
      </c>
      <c r="H46" s="18">
        <f t="shared" si="3"/>
        <v>46032.132072845008</v>
      </c>
      <c r="I46" s="18">
        <f t="shared" si="4"/>
        <v>3069811.6570727541</v>
      </c>
    </row>
    <row r="47" spans="4:9" x14ac:dyDescent="0.3">
      <c r="D47" s="19">
        <v>37</v>
      </c>
      <c r="E47" s="18">
        <f t="shared" si="0"/>
        <v>3069811.6570727541</v>
      </c>
      <c r="F47" s="18">
        <f t="shared" si="1"/>
        <v>28636.532682766065</v>
      </c>
      <c r="G47" s="18">
        <f t="shared" si="2"/>
        <v>17395.599390078944</v>
      </c>
      <c r="H47" s="18">
        <f t="shared" si="3"/>
        <v>46032.132072845008</v>
      </c>
      <c r="I47" s="18">
        <f t="shared" si="4"/>
        <v>3041175.1243899879</v>
      </c>
    </row>
    <row r="48" spans="4:9" x14ac:dyDescent="0.3">
      <c r="D48" s="19">
        <v>38</v>
      </c>
      <c r="E48" s="18">
        <f t="shared" si="0"/>
        <v>3041175.1243899879</v>
      </c>
      <c r="F48" s="18">
        <f t="shared" si="1"/>
        <v>28798.806367968409</v>
      </c>
      <c r="G48" s="18">
        <f t="shared" si="2"/>
        <v>17233.325704876599</v>
      </c>
      <c r="H48" s="18">
        <f t="shared" si="3"/>
        <v>46032.132072845008</v>
      </c>
      <c r="I48" s="18">
        <f t="shared" si="4"/>
        <v>3012376.3180220197</v>
      </c>
    </row>
    <row r="49" spans="4:9" x14ac:dyDescent="0.3">
      <c r="D49" s="19">
        <v>39</v>
      </c>
      <c r="E49" s="18">
        <f t="shared" si="0"/>
        <v>3012376.3180220197</v>
      </c>
      <c r="F49" s="18">
        <f t="shared" si="1"/>
        <v>28961.999604053563</v>
      </c>
      <c r="G49" s="18">
        <f t="shared" si="2"/>
        <v>17070.132468791446</v>
      </c>
      <c r="H49" s="18">
        <f t="shared" si="3"/>
        <v>46032.132072845008</v>
      </c>
      <c r="I49" s="18">
        <f t="shared" si="4"/>
        <v>2983414.3184179664</v>
      </c>
    </row>
    <row r="50" spans="4:9" x14ac:dyDescent="0.3">
      <c r="D50" s="19">
        <v>40</v>
      </c>
      <c r="E50" s="18">
        <f t="shared" si="0"/>
        <v>2983414.3184179664</v>
      </c>
      <c r="F50" s="18">
        <f t="shared" si="1"/>
        <v>29126.117601809863</v>
      </c>
      <c r="G50" s="18">
        <f t="shared" si="2"/>
        <v>16906.014471035145</v>
      </c>
      <c r="H50" s="18">
        <f t="shared" si="3"/>
        <v>46032.132072845008</v>
      </c>
      <c r="I50" s="18">
        <f t="shared" si="4"/>
        <v>2954288.2008161563</v>
      </c>
    </row>
    <row r="51" spans="4:9" x14ac:dyDescent="0.3">
      <c r="D51" s="19">
        <v>41</v>
      </c>
      <c r="E51" s="18">
        <f t="shared" si="0"/>
        <v>2954288.2008161563</v>
      </c>
      <c r="F51" s="18">
        <f t="shared" si="1"/>
        <v>29291.165601553454</v>
      </c>
      <c r="G51" s="18">
        <f t="shared" si="2"/>
        <v>16740.966471291555</v>
      </c>
      <c r="H51" s="18">
        <f t="shared" si="3"/>
        <v>46032.132072845008</v>
      </c>
      <c r="I51" s="18">
        <f t="shared" si="4"/>
        <v>2924997.0352146029</v>
      </c>
    </row>
    <row r="52" spans="4:9" x14ac:dyDescent="0.3">
      <c r="D52" s="19">
        <v>42</v>
      </c>
      <c r="E52" s="18">
        <f t="shared" si="0"/>
        <v>2924997.0352146029</v>
      </c>
      <c r="F52" s="18">
        <f t="shared" si="1"/>
        <v>29457.148873295591</v>
      </c>
      <c r="G52" s="18">
        <f t="shared" si="2"/>
        <v>16574.983199549417</v>
      </c>
      <c r="H52" s="18">
        <f t="shared" si="3"/>
        <v>46032.132072845008</v>
      </c>
      <c r="I52" s="18">
        <f t="shared" si="4"/>
        <v>2895539.8863413073</v>
      </c>
    </row>
    <row r="53" spans="4:9" x14ac:dyDescent="0.3">
      <c r="D53" s="19">
        <v>43</v>
      </c>
      <c r="E53" s="18">
        <f t="shared" si="0"/>
        <v>2895539.8863413073</v>
      </c>
      <c r="F53" s="18">
        <f t="shared" si="1"/>
        <v>29624.072716910934</v>
      </c>
      <c r="G53" s="18">
        <f t="shared" si="2"/>
        <v>16408.059355934074</v>
      </c>
      <c r="H53" s="18">
        <f t="shared" si="3"/>
        <v>46032.132072845008</v>
      </c>
      <c r="I53" s="18">
        <f t="shared" si="4"/>
        <v>2865915.8136243965</v>
      </c>
    </row>
    <row r="54" spans="4:9" x14ac:dyDescent="0.3">
      <c r="D54" s="19">
        <v>44</v>
      </c>
      <c r="E54" s="18">
        <f t="shared" si="0"/>
        <v>2865915.8136243965</v>
      </c>
      <c r="F54" s="18">
        <f t="shared" si="1"/>
        <v>29791.942462306761</v>
      </c>
      <c r="G54" s="18">
        <f t="shared" si="2"/>
        <v>16240.189610538248</v>
      </c>
      <c r="H54" s="18">
        <f t="shared" si="3"/>
        <v>46032.132072845008</v>
      </c>
      <c r="I54" s="18">
        <f t="shared" si="4"/>
        <v>2836123.8711620895</v>
      </c>
    </row>
    <row r="55" spans="4:9" x14ac:dyDescent="0.3">
      <c r="D55" s="19">
        <v>45</v>
      </c>
      <c r="E55" s="18">
        <f t="shared" si="0"/>
        <v>2836123.8711620895</v>
      </c>
      <c r="F55" s="18">
        <f t="shared" si="1"/>
        <v>29960.763469593163</v>
      </c>
      <c r="G55" s="18">
        <f t="shared" si="2"/>
        <v>16071.368603251844</v>
      </c>
      <c r="H55" s="18">
        <f t="shared" si="3"/>
        <v>46032.132072845008</v>
      </c>
      <c r="I55" s="18">
        <f t="shared" si="4"/>
        <v>2806163.1076924964</v>
      </c>
    </row>
    <row r="56" spans="4:9" x14ac:dyDescent="0.3">
      <c r="D56" s="19">
        <v>46</v>
      </c>
      <c r="E56" s="18">
        <f t="shared" si="0"/>
        <v>2806163.1076924964</v>
      </c>
      <c r="F56" s="18">
        <f t="shared" si="1"/>
        <v>30130.541129254198</v>
      </c>
      <c r="G56" s="18">
        <f t="shared" si="2"/>
        <v>15901.590943590812</v>
      </c>
      <c r="H56" s="18">
        <f t="shared" si="3"/>
        <v>46032.132072845008</v>
      </c>
      <c r="I56" s="18">
        <f t="shared" si="4"/>
        <v>2776032.5665632421</v>
      </c>
    </row>
    <row r="57" spans="4:9" x14ac:dyDescent="0.3">
      <c r="D57" s="19">
        <v>47</v>
      </c>
      <c r="E57" s="18">
        <f t="shared" si="0"/>
        <v>2776032.5665632421</v>
      </c>
      <c r="F57" s="18">
        <f t="shared" si="1"/>
        <v>30301.280862319967</v>
      </c>
      <c r="G57" s="18">
        <f t="shared" si="2"/>
        <v>15730.851210525039</v>
      </c>
      <c r="H57" s="18">
        <f t="shared" si="3"/>
        <v>46032.132072845008</v>
      </c>
      <c r="I57" s="18">
        <f t="shared" si="4"/>
        <v>2745731.2857009224</v>
      </c>
    </row>
    <row r="58" spans="4:9" x14ac:dyDescent="0.3">
      <c r="D58" s="19">
        <v>48</v>
      </c>
      <c r="E58" s="18">
        <f t="shared" si="0"/>
        <v>2745731.2857009224</v>
      </c>
      <c r="F58" s="18">
        <f t="shared" si="1"/>
        <v>30472.988120539783</v>
      </c>
      <c r="G58" s="18">
        <f t="shared" si="2"/>
        <v>15559.143952305227</v>
      </c>
      <c r="H58" s="18">
        <f t="shared" si="3"/>
        <v>46032.132072845008</v>
      </c>
      <c r="I58" s="18">
        <f t="shared" si="4"/>
        <v>2715258.2975803828</v>
      </c>
    </row>
    <row r="59" spans="4:9" x14ac:dyDescent="0.3">
      <c r="D59" s="19">
        <v>49</v>
      </c>
      <c r="E59" s="18">
        <f t="shared" si="0"/>
        <v>2715258.2975803828</v>
      </c>
      <c r="F59" s="18">
        <f t="shared" si="1"/>
        <v>30645.668386556172</v>
      </c>
      <c r="G59" s="18">
        <f t="shared" si="2"/>
        <v>15386.463686288836</v>
      </c>
      <c r="H59" s="18">
        <f t="shared" si="3"/>
        <v>46032.132072845008</v>
      </c>
      <c r="I59" s="18">
        <f t="shared" si="4"/>
        <v>2684612.6291938266</v>
      </c>
    </row>
    <row r="60" spans="4:9" x14ac:dyDescent="0.3">
      <c r="D60" s="19">
        <v>50</v>
      </c>
      <c r="E60" s="18">
        <f t="shared" si="0"/>
        <v>2684612.6291938266</v>
      </c>
      <c r="F60" s="18">
        <f t="shared" si="1"/>
        <v>30819.32717407999</v>
      </c>
      <c r="G60" s="18">
        <f t="shared" si="2"/>
        <v>15212.804898765018</v>
      </c>
      <c r="H60" s="18">
        <f t="shared" si="3"/>
        <v>46032.132072845008</v>
      </c>
      <c r="I60" s="18">
        <f t="shared" si="4"/>
        <v>2653793.3020197465</v>
      </c>
    </row>
    <row r="61" spans="4:9" x14ac:dyDescent="0.3">
      <c r="D61" s="19">
        <v>51</v>
      </c>
      <c r="E61" s="18">
        <f t="shared" si="0"/>
        <v>2653793.3020197465</v>
      </c>
      <c r="F61" s="18">
        <f t="shared" si="1"/>
        <v>30993.97002806644</v>
      </c>
      <c r="G61" s="18">
        <f t="shared" si="2"/>
        <v>15038.162044778566</v>
      </c>
      <c r="H61" s="18">
        <f t="shared" si="3"/>
        <v>46032.132072845008</v>
      </c>
      <c r="I61" s="18">
        <f t="shared" si="4"/>
        <v>2622799.33199168</v>
      </c>
    </row>
    <row r="62" spans="4:9" x14ac:dyDescent="0.3">
      <c r="D62" s="19">
        <v>52</v>
      </c>
      <c r="E62" s="18">
        <f t="shared" si="0"/>
        <v>2622799.33199168</v>
      </c>
      <c r="F62" s="18">
        <f t="shared" si="1"/>
        <v>31169.602524892151</v>
      </c>
      <c r="G62" s="18">
        <f t="shared" si="2"/>
        <v>14862.529547952856</v>
      </c>
      <c r="H62" s="18">
        <f t="shared" si="3"/>
        <v>46032.132072845008</v>
      </c>
      <c r="I62" s="18">
        <f t="shared" si="4"/>
        <v>2591629.729466788</v>
      </c>
    </row>
    <row r="63" spans="4:9" x14ac:dyDescent="0.3">
      <c r="D63" s="19">
        <v>53</v>
      </c>
      <c r="E63" s="18">
        <f t="shared" si="0"/>
        <v>2591629.729466788</v>
      </c>
      <c r="F63" s="18">
        <f t="shared" si="1"/>
        <v>31346.230272533212</v>
      </c>
      <c r="G63" s="18">
        <f t="shared" si="2"/>
        <v>14685.901800311798</v>
      </c>
      <c r="H63" s="18">
        <f t="shared" si="3"/>
        <v>46032.132072845008</v>
      </c>
      <c r="I63" s="18">
        <f t="shared" si="4"/>
        <v>2560283.4991942546</v>
      </c>
    </row>
    <row r="64" spans="4:9" x14ac:dyDescent="0.3">
      <c r="D64" s="19">
        <v>54</v>
      </c>
      <c r="E64" s="18">
        <f t="shared" si="0"/>
        <v>2560283.4991942546</v>
      </c>
      <c r="F64" s="18">
        <f t="shared" si="1"/>
        <v>31523.858910744231</v>
      </c>
      <c r="G64" s="18">
        <f t="shared" si="2"/>
        <v>14508.273162100777</v>
      </c>
      <c r="H64" s="18">
        <f t="shared" si="3"/>
        <v>46032.132072845008</v>
      </c>
      <c r="I64" s="18">
        <f t="shared" si="4"/>
        <v>2528759.6402835106</v>
      </c>
    </row>
    <row r="65" spans="4:9" x14ac:dyDescent="0.3">
      <c r="D65" s="19">
        <v>55</v>
      </c>
      <c r="E65" s="18">
        <f t="shared" si="0"/>
        <v>2528759.6402835106</v>
      </c>
      <c r="F65" s="18">
        <f t="shared" si="1"/>
        <v>31702.494111238448</v>
      </c>
      <c r="G65" s="18">
        <f t="shared" si="2"/>
        <v>14329.637961606561</v>
      </c>
      <c r="H65" s="18">
        <f t="shared" si="3"/>
        <v>46032.132072845008</v>
      </c>
      <c r="I65" s="18">
        <f t="shared" si="4"/>
        <v>2497057.146172272</v>
      </c>
    </row>
    <row r="66" spans="4:9" x14ac:dyDescent="0.3">
      <c r="D66" s="19">
        <v>56</v>
      </c>
      <c r="E66" s="18">
        <f t="shared" si="0"/>
        <v>2497057.146172272</v>
      </c>
      <c r="F66" s="18">
        <f t="shared" si="1"/>
        <v>31882.141577868802</v>
      </c>
      <c r="G66" s="18">
        <f t="shared" si="2"/>
        <v>14149.990494976208</v>
      </c>
      <c r="H66" s="18">
        <f t="shared" si="3"/>
        <v>46032.132072845008</v>
      </c>
      <c r="I66" s="18">
        <f t="shared" si="4"/>
        <v>2465175.0045944033</v>
      </c>
    </row>
    <row r="67" spans="4:9" x14ac:dyDescent="0.3">
      <c r="D67" s="19">
        <v>57</v>
      </c>
      <c r="E67" s="18">
        <f t="shared" si="0"/>
        <v>2465175.0045944033</v>
      </c>
      <c r="F67" s="18">
        <f t="shared" si="1"/>
        <v>32062.807046810056</v>
      </c>
      <c r="G67" s="18">
        <f t="shared" si="2"/>
        <v>13969.325026034952</v>
      </c>
      <c r="H67" s="18">
        <f t="shared" si="3"/>
        <v>46032.132072845008</v>
      </c>
      <c r="I67" s="18">
        <f t="shared" si="4"/>
        <v>2433112.1975475932</v>
      </c>
    </row>
    <row r="68" spans="4:9" x14ac:dyDescent="0.3">
      <c r="D68" s="19">
        <v>58</v>
      </c>
      <c r="E68" s="18">
        <f t="shared" si="0"/>
        <v>2433112.1975475932</v>
      </c>
      <c r="F68" s="18">
        <f t="shared" si="1"/>
        <v>32244.496286741982</v>
      </c>
      <c r="G68" s="18">
        <f t="shared" si="2"/>
        <v>13787.635786103028</v>
      </c>
      <c r="H68" s="18">
        <f t="shared" si="3"/>
        <v>46032.132072845008</v>
      </c>
      <c r="I68" s="18">
        <f t="shared" si="4"/>
        <v>2400867.7012608512</v>
      </c>
    </row>
    <row r="69" spans="4:9" x14ac:dyDescent="0.3">
      <c r="D69" s="19">
        <v>59</v>
      </c>
      <c r="E69" s="18">
        <f t="shared" si="0"/>
        <v>2400867.7012608512</v>
      </c>
      <c r="F69" s="18">
        <f t="shared" si="1"/>
        <v>32427.215099033514</v>
      </c>
      <c r="G69" s="18">
        <f t="shared" si="2"/>
        <v>13604.916973811492</v>
      </c>
      <c r="H69" s="18">
        <f t="shared" si="3"/>
        <v>46032.132072845008</v>
      </c>
      <c r="I69" s="18">
        <f t="shared" si="4"/>
        <v>2368440.4861618178</v>
      </c>
    </row>
    <row r="70" spans="4:9" x14ac:dyDescent="0.3">
      <c r="D70" s="19">
        <v>60</v>
      </c>
      <c r="E70" s="18">
        <f t="shared" si="0"/>
        <v>2368440.4861618178</v>
      </c>
      <c r="F70" s="18">
        <f t="shared" si="1"/>
        <v>32610.969317928037</v>
      </c>
      <c r="G70" s="18">
        <f t="shared" si="2"/>
        <v>13421.16275491697</v>
      </c>
      <c r="H70" s="18">
        <f t="shared" si="3"/>
        <v>46032.132072845008</v>
      </c>
      <c r="I70" s="18">
        <f t="shared" si="4"/>
        <v>2335829.5168438898</v>
      </c>
    </row>
    <row r="71" spans="4:9" x14ac:dyDescent="0.3">
      <c r="D71" s="19">
        <v>61</v>
      </c>
      <c r="E71" s="18">
        <f t="shared" si="0"/>
        <v>2335829.5168438898</v>
      </c>
      <c r="F71" s="18">
        <f t="shared" si="1"/>
        <v>32795.764810729634</v>
      </c>
      <c r="G71" s="18">
        <f t="shared" si="2"/>
        <v>13236.367262115376</v>
      </c>
      <c r="H71" s="18">
        <f t="shared" si="3"/>
        <v>46032.132072845008</v>
      </c>
      <c r="I71" s="18">
        <f t="shared" si="4"/>
        <v>2303033.7520331601</v>
      </c>
    </row>
    <row r="72" spans="4:9" x14ac:dyDescent="0.3">
      <c r="D72" s="19">
        <v>62</v>
      </c>
      <c r="E72" s="18">
        <f t="shared" si="0"/>
        <v>2303033.7520331601</v>
      </c>
      <c r="F72" s="18">
        <f t="shared" si="1"/>
        <v>32981.60747799043</v>
      </c>
      <c r="G72" s="18">
        <f t="shared" si="2"/>
        <v>13050.524594854576</v>
      </c>
      <c r="H72" s="18">
        <f t="shared" si="3"/>
        <v>46032.132072845008</v>
      </c>
      <c r="I72" s="18">
        <f t="shared" si="4"/>
        <v>2270052.1445551696</v>
      </c>
    </row>
    <row r="73" spans="4:9" x14ac:dyDescent="0.3">
      <c r="D73" s="19">
        <v>63</v>
      </c>
      <c r="E73" s="18">
        <f t="shared" si="0"/>
        <v>2270052.1445551696</v>
      </c>
      <c r="F73" s="18">
        <f t="shared" si="1"/>
        <v>33168.503253699047</v>
      </c>
      <c r="G73" s="18">
        <f t="shared" si="2"/>
        <v>12863.628819145963</v>
      </c>
      <c r="H73" s="18">
        <f t="shared" si="3"/>
        <v>46032.132072845008</v>
      </c>
      <c r="I73" s="18">
        <f t="shared" si="4"/>
        <v>2236883.6413014708</v>
      </c>
    </row>
    <row r="74" spans="4:9" x14ac:dyDescent="0.3">
      <c r="D74" s="19">
        <v>64</v>
      </c>
      <c r="E74" s="18">
        <f t="shared" si="0"/>
        <v>2236883.6413014708</v>
      </c>
      <c r="F74" s="18">
        <f t="shared" si="1"/>
        <v>33356.458105470003</v>
      </c>
      <c r="G74" s="18">
        <f t="shared" si="2"/>
        <v>12675.673967375003</v>
      </c>
      <c r="H74" s="18">
        <f t="shared" si="3"/>
        <v>46032.132072845008</v>
      </c>
      <c r="I74" s="18">
        <f t="shared" si="4"/>
        <v>2203527.1831960008</v>
      </c>
    </row>
    <row r="75" spans="4:9" x14ac:dyDescent="0.3">
      <c r="D75" s="19">
        <v>65</v>
      </c>
      <c r="E75" s="18">
        <f t="shared" si="0"/>
        <v>2203527.1831960008</v>
      </c>
      <c r="F75" s="18">
        <f t="shared" si="1"/>
        <v>33545.478034734333</v>
      </c>
      <c r="G75" s="18">
        <f t="shared" si="2"/>
        <v>12486.654038110673</v>
      </c>
      <c r="H75" s="18">
        <f t="shared" si="3"/>
        <v>46032.132072845008</v>
      </c>
      <c r="I75" s="18">
        <f t="shared" si="4"/>
        <v>2169981.7051612665</v>
      </c>
    </row>
    <row r="76" spans="4:9" x14ac:dyDescent="0.3">
      <c r="D76" s="19">
        <v>66</v>
      </c>
      <c r="E76" s="18">
        <f t="shared" si="0"/>
        <v>2169981.7051612665</v>
      </c>
      <c r="F76" s="18">
        <f t="shared" si="1"/>
        <v>33735.569076931162</v>
      </c>
      <c r="G76" s="18">
        <f t="shared" si="2"/>
        <v>12296.562995913844</v>
      </c>
      <c r="H76" s="18">
        <f t="shared" si="3"/>
        <v>46032.132072845008</v>
      </c>
      <c r="I76" s="18">
        <f t="shared" si="4"/>
        <v>2136246.1360843354</v>
      </c>
    </row>
    <row r="77" spans="4:9" x14ac:dyDescent="0.3">
      <c r="D77" s="19">
        <v>67</v>
      </c>
      <c r="E77" s="18">
        <f t="shared" ref="E77:E130" si="5">I76</f>
        <v>2136246.1360843354</v>
      </c>
      <c r="F77" s="18">
        <f t="shared" ref="F77:F130" si="6">H77-G77</f>
        <v>33926.737301700443</v>
      </c>
      <c r="G77" s="18">
        <f t="shared" ref="G77:G130" si="7">IF($K$7=1,E77*$H$7%,E77*$H$7%/12)</f>
        <v>12105.394771144567</v>
      </c>
      <c r="H77" s="18">
        <f t="shared" ref="H77:H130" si="8">$K$5</f>
        <v>46032.132072845008</v>
      </c>
      <c r="I77" s="18">
        <f t="shared" ref="I77:I130" si="9">E77-F77</f>
        <v>2102319.3987826351</v>
      </c>
    </row>
    <row r="78" spans="4:9" x14ac:dyDescent="0.3">
      <c r="D78" s="19">
        <v>68</v>
      </c>
      <c r="E78" s="18">
        <f t="shared" si="5"/>
        <v>2102319.3987826351</v>
      </c>
      <c r="F78" s="18">
        <f t="shared" si="6"/>
        <v>34118.988813076743</v>
      </c>
      <c r="G78" s="18">
        <f t="shared" si="7"/>
        <v>11913.143259768267</v>
      </c>
      <c r="H78" s="18">
        <f t="shared" si="8"/>
        <v>46032.132072845008</v>
      </c>
      <c r="I78" s="18">
        <f t="shared" si="9"/>
        <v>2068200.4099695585</v>
      </c>
    </row>
    <row r="79" spans="4:9" x14ac:dyDescent="0.3">
      <c r="D79" s="19">
        <v>69</v>
      </c>
      <c r="E79" s="18">
        <f t="shared" si="5"/>
        <v>2068200.4099695585</v>
      </c>
      <c r="F79" s="18">
        <f t="shared" si="6"/>
        <v>34312.329749684177</v>
      </c>
      <c r="G79" s="18">
        <f t="shared" si="7"/>
        <v>11719.802323160831</v>
      </c>
      <c r="H79" s="18">
        <f t="shared" si="8"/>
        <v>46032.132072845008</v>
      </c>
      <c r="I79" s="18">
        <f t="shared" si="9"/>
        <v>2033888.0802198744</v>
      </c>
    </row>
    <row r="80" spans="4:9" x14ac:dyDescent="0.3">
      <c r="D80" s="19">
        <v>70</v>
      </c>
      <c r="E80" s="18">
        <f t="shared" si="5"/>
        <v>2033888.0802198744</v>
      </c>
      <c r="F80" s="18">
        <f t="shared" si="6"/>
        <v>34506.766284932382</v>
      </c>
      <c r="G80" s="18">
        <f t="shared" si="7"/>
        <v>11525.365787912624</v>
      </c>
      <c r="H80" s="18">
        <f t="shared" si="8"/>
        <v>46032.132072845008</v>
      </c>
      <c r="I80" s="18">
        <f t="shared" si="9"/>
        <v>1999381.313934942</v>
      </c>
    </row>
    <row r="81" spans="4:9" x14ac:dyDescent="0.3">
      <c r="D81" s="19">
        <v>71</v>
      </c>
      <c r="E81" s="18">
        <f t="shared" si="5"/>
        <v>1999381.313934942</v>
      </c>
      <c r="F81" s="18">
        <f t="shared" si="6"/>
        <v>34702.304627213671</v>
      </c>
      <c r="G81" s="18">
        <f t="shared" si="7"/>
        <v>11329.827445631339</v>
      </c>
      <c r="H81" s="18">
        <f t="shared" si="8"/>
        <v>46032.132072845008</v>
      </c>
      <c r="I81" s="18">
        <f t="shared" si="9"/>
        <v>1964679.0093077284</v>
      </c>
    </row>
    <row r="82" spans="4:9" x14ac:dyDescent="0.3">
      <c r="D82" s="19">
        <v>72</v>
      </c>
      <c r="E82" s="18">
        <f t="shared" si="5"/>
        <v>1964679.0093077284</v>
      </c>
      <c r="F82" s="18">
        <f t="shared" si="6"/>
        <v>34898.951020101216</v>
      </c>
      <c r="G82" s="18">
        <f t="shared" si="7"/>
        <v>11133.181052743794</v>
      </c>
      <c r="H82" s="18">
        <f t="shared" si="8"/>
        <v>46032.132072845008</v>
      </c>
      <c r="I82" s="18">
        <f t="shared" si="9"/>
        <v>1929780.0582876271</v>
      </c>
    </row>
    <row r="83" spans="4:9" x14ac:dyDescent="0.3">
      <c r="D83" s="19">
        <v>73</v>
      </c>
      <c r="E83" s="18">
        <f t="shared" si="5"/>
        <v>1929780.0582876271</v>
      </c>
      <c r="F83" s="18">
        <f t="shared" si="6"/>
        <v>35096.711742548454</v>
      </c>
      <c r="G83" s="18">
        <f t="shared" si="7"/>
        <v>10935.420330296554</v>
      </c>
      <c r="H83" s="18">
        <f t="shared" si="8"/>
        <v>46032.132072845008</v>
      </c>
      <c r="I83" s="18">
        <f t="shared" si="9"/>
        <v>1894683.3465450786</v>
      </c>
    </row>
    <row r="84" spans="4:9" x14ac:dyDescent="0.3">
      <c r="D84" s="19">
        <v>74</v>
      </c>
      <c r="E84" s="18">
        <f t="shared" si="5"/>
        <v>1894683.3465450786</v>
      </c>
      <c r="F84" s="18">
        <f t="shared" si="6"/>
        <v>35295.593109089561</v>
      </c>
      <c r="G84" s="18">
        <f t="shared" si="7"/>
        <v>10736.538963755445</v>
      </c>
      <c r="H84" s="18">
        <f t="shared" si="8"/>
        <v>46032.132072845008</v>
      </c>
      <c r="I84" s="18">
        <f t="shared" si="9"/>
        <v>1859387.7534359889</v>
      </c>
    </row>
    <row r="85" spans="4:9" x14ac:dyDescent="0.3">
      <c r="D85" s="19">
        <v>75</v>
      </c>
      <c r="E85" s="18">
        <f t="shared" si="5"/>
        <v>1859387.7534359889</v>
      </c>
      <c r="F85" s="18">
        <f t="shared" si="6"/>
        <v>35495.601470041074</v>
      </c>
      <c r="G85" s="18">
        <f t="shared" si="7"/>
        <v>10536.530602803938</v>
      </c>
      <c r="H85" s="18">
        <f t="shared" si="8"/>
        <v>46032.132072845008</v>
      </c>
      <c r="I85" s="18">
        <f t="shared" si="9"/>
        <v>1823892.1519659478</v>
      </c>
    </row>
    <row r="86" spans="4:9" x14ac:dyDescent="0.3">
      <c r="D86" s="19">
        <v>76</v>
      </c>
      <c r="E86" s="18">
        <f t="shared" si="5"/>
        <v>1823892.1519659478</v>
      </c>
      <c r="F86" s="18">
        <f t="shared" si="6"/>
        <v>35696.743211704634</v>
      </c>
      <c r="G86" s="18">
        <f t="shared" si="7"/>
        <v>10335.388861140373</v>
      </c>
      <c r="H86" s="18">
        <f t="shared" si="8"/>
        <v>46032.132072845008</v>
      </c>
      <c r="I86" s="18">
        <f t="shared" si="9"/>
        <v>1788195.4087542433</v>
      </c>
    </row>
    <row r="87" spans="4:9" x14ac:dyDescent="0.3">
      <c r="D87" s="19">
        <v>77</v>
      </c>
      <c r="E87" s="18">
        <f t="shared" si="5"/>
        <v>1788195.4087542433</v>
      </c>
      <c r="F87" s="18">
        <f t="shared" si="6"/>
        <v>35899.024756570965</v>
      </c>
      <c r="G87" s="18">
        <f t="shared" si="7"/>
        <v>10133.107316274045</v>
      </c>
      <c r="H87" s="18">
        <f t="shared" si="8"/>
        <v>46032.132072845008</v>
      </c>
      <c r="I87" s="18">
        <f t="shared" si="9"/>
        <v>1752296.3839976722</v>
      </c>
    </row>
    <row r="88" spans="4:9" x14ac:dyDescent="0.3">
      <c r="D88" s="19">
        <v>78</v>
      </c>
      <c r="E88" s="18">
        <f t="shared" si="5"/>
        <v>1752296.3839976722</v>
      </c>
      <c r="F88" s="18">
        <f t="shared" si="6"/>
        <v>36102.452563524865</v>
      </c>
      <c r="G88" s="18">
        <f t="shared" si="7"/>
        <v>9929.6795093201436</v>
      </c>
      <c r="H88" s="18">
        <f t="shared" si="8"/>
        <v>46032.132072845008</v>
      </c>
      <c r="I88" s="18">
        <f t="shared" si="9"/>
        <v>1716193.9314341473</v>
      </c>
    </row>
    <row r="89" spans="4:9" x14ac:dyDescent="0.3">
      <c r="D89" s="19">
        <v>79</v>
      </c>
      <c r="E89" s="18">
        <f t="shared" si="5"/>
        <v>1716193.9314341473</v>
      </c>
      <c r="F89" s="18">
        <f t="shared" si="6"/>
        <v>36307.033128051509</v>
      </c>
      <c r="G89" s="18">
        <f t="shared" si="7"/>
        <v>9725.0989447935026</v>
      </c>
      <c r="H89" s="18">
        <f t="shared" si="8"/>
        <v>46032.132072845008</v>
      </c>
      <c r="I89" s="18">
        <f t="shared" si="9"/>
        <v>1679886.8983060957</v>
      </c>
    </row>
    <row r="90" spans="4:9" x14ac:dyDescent="0.3">
      <c r="D90" s="19">
        <v>80</v>
      </c>
      <c r="E90" s="18">
        <f t="shared" si="5"/>
        <v>1679886.8983060957</v>
      </c>
      <c r="F90" s="18">
        <f t="shared" si="6"/>
        <v>36512.772982443799</v>
      </c>
      <c r="G90" s="18">
        <f t="shared" si="7"/>
        <v>9519.3590904012108</v>
      </c>
      <c r="H90" s="18">
        <f t="shared" si="8"/>
        <v>46032.132072845008</v>
      </c>
      <c r="I90" s="18">
        <f t="shared" si="9"/>
        <v>1643374.1253236518</v>
      </c>
    </row>
    <row r="91" spans="4:9" x14ac:dyDescent="0.3">
      <c r="D91" s="19">
        <v>81</v>
      </c>
      <c r="E91" s="18">
        <f t="shared" si="5"/>
        <v>1643374.1253236518</v>
      </c>
      <c r="F91" s="18">
        <f t="shared" si="6"/>
        <v>36719.678696010982</v>
      </c>
      <c r="G91" s="18">
        <f t="shared" si="7"/>
        <v>9312.4533768340279</v>
      </c>
      <c r="H91" s="18">
        <f t="shared" si="8"/>
        <v>46032.132072845008</v>
      </c>
      <c r="I91" s="18">
        <f t="shared" si="9"/>
        <v>1606654.4466276409</v>
      </c>
    </row>
    <row r="92" spans="4:9" x14ac:dyDescent="0.3">
      <c r="D92" s="19">
        <v>82</v>
      </c>
      <c r="E92" s="18">
        <f t="shared" si="5"/>
        <v>1606654.4466276409</v>
      </c>
      <c r="F92" s="18">
        <f t="shared" si="6"/>
        <v>36927.756875288374</v>
      </c>
      <c r="G92" s="18">
        <f t="shared" si="7"/>
        <v>9104.375197556632</v>
      </c>
      <c r="H92" s="18">
        <f t="shared" si="8"/>
        <v>46032.132072845008</v>
      </c>
      <c r="I92" s="18">
        <f t="shared" si="9"/>
        <v>1569726.6897523524</v>
      </c>
    </row>
    <row r="93" spans="4:9" x14ac:dyDescent="0.3">
      <c r="D93" s="19">
        <v>83</v>
      </c>
      <c r="E93" s="18">
        <f t="shared" si="5"/>
        <v>1569726.6897523524</v>
      </c>
      <c r="F93" s="18">
        <f t="shared" si="6"/>
        <v>37137.014164248343</v>
      </c>
      <c r="G93" s="18">
        <f t="shared" si="7"/>
        <v>8895.1179085966633</v>
      </c>
      <c r="H93" s="18">
        <f t="shared" si="8"/>
        <v>46032.132072845008</v>
      </c>
      <c r="I93" s="18">
        <f t="shared" si="9"/>
        <v>1532589.6755881042</v>
      </c>
    </row>
    <row r="94" spans="4:9" x14ac:dyDescent="0.3">
      <c r="D94" s="19">
        <v>84</v>
      </c>
      <c r="E94" s="18">
        <f t="shared" si="5"/>
        <v>1532589.6755881042</v>
      </c>
      <c r="F94" s="18">
        <f t="shared" si="6"/>
        <v>37347.457244512421</v>
      </c>
      <c r="G94" s="18">
        <f t="shared" si="7"/>
        <v>8684.6748283325906</v>
      </c>
      <c r="H94" s="18">
        <f t="shared" si="8"/>
        <v>46032.132072845008</v>
      </c>
      <c r="I94" s="18">
        <f t="shared" si="9"/>
        <v>1495242.2183435918</v>
      </c>
    </row>
    <row r="95" spans="4:9" x14ac:dyDescent="0.3">
      <c r="D95" s="19">
        <v>85</v>
      </c>
      <c r="E95" s="18">
        <f t="shared" si="5"/>
        <v>1495242.2183435918</v>
      </c>
      <c r="F95" s="18">
        <f t="shared" si="6"/>
        <v>37559.092835564654</v>
      </c>
      <c r="G95" s="18">
        <f t="shared" si="7"/>
        <v>8473.0392372803544</v>
      </c>
      <c r="H95" s="18">
        <f t="shared" si="8"/>
        <v>46032.132072845008</v>
      </c>
      <c r="I95" s="18">
        <f t="shared" si="9"/>
        <v>1457683.1255080272</v>
      </c>
    </row>
    <row r="96" spans="4:9" x14ac:dyDescent="0.3">
      <c r="D96" s="19">
        <v>86</v>
      </c>
      <c r="E96" s="18">
        <f t="shared" si="5"/>
        <v>1457683.1255080272</v>
      </c>
      <c r="F96" s="18">
        <f t="shared" si="6"/>
        <v>37771.927694966187</v>
      </c>
      <c r="G96" s="18">
        <f t="shared" si="7"/>
        <v>8260.2043778788211</v>
      </c>
      <c r="H96" s="18">
        <f t="shared" si="8"/>
        <v>46032.132072845008</v>
      </c>
      <c r="I96" s="18">
        <f t="shared" si="9"/>
        <v>1419911.1978130611</v>
      </c>
    </row>
    <row r="97" spans="4:9" x14ac:dyDescent="0.3">
      <c r="D97" s="19">
        <v>87</v>
      </c>
      <c r="E97" s="18">
        <f t="shared" si="5"/>
        <v>1419911.1978130611</v>
      </c>
      <c r="F97" s="18">
        <f t="shared" si="6"/>
        <v>37985.968618570994</v>
      </c>
      <c r="G97" s="18">
        <f t="shared" si="7"/>
        <v>8046.163454274013</v>
      </c>
      <c r="H97" s="18">
        <f t="shared" si="8"/>
        <v>46032.132072845008</v>
      </c>
      <c r="I97" s="18">
        <f t="shared" si="9"/>
        <v>1381925.22919449</v>
      </c>
    </row>
    <row r="98" spans="4:9" x14ac:dyDescent="0.3">
      <c r="D98" s="19">
        <v>88</v>
      </c>
      <c r="E98" s="18">
        <f t="shared" si="5"/>
        <v>1381925.22919449</v>
      </c>
      <c r="F98" s="18">
        <f t="shared" si="6"/>
        <v>38201.222440742895</v>
      </c>
      <c r="G98" s="18">
        <f t="shared" si="7"/>
        <v>7830.9096321021107</v>
      </c>
      <c r="H98" s="18">
        <f t="shared" si="8"/>
        <v>46032.132072845008</v>
      </c>
      <c r="I98" s="18">
        <f t="shared" si="9"/>
        <v>1343724.0067537471</v>
      </c>
    </row>
    <row r="99" spans="4:9" x14ac:dyDescent="0.3">
      <c r="D99" s="19">
        <v>89</v>
      </c>
      <c r="E99" s="18">
        <f t="shared" si="5"/>
        <v>1343724.0067537471</v>
      </c>
      <c r="F99" s="18">
        <f t="shared" si="6"/>
        <v>38417.696034573775</v>
      </c>
      <c r="G99" s="18">
        <f t="shared" si="7"/>
        <v>7614.4360382712339</v>
      </c>
      <c r="H99" s="18">
        <f t="shared" si="8"/>
        <v>46032.132072845008</v>
      </c>
      <c r="I99" s="18">
        <f t="shared" si="9"/>
        <v>1305306.3107191734</v>
      </c>
    </row>
    <row r="100" spans="4:9" x14ac:dyDescent="0.3">
      <c r="D100" s="19">
        <v>90</v>
      </c>
      <c r="E100" s="18">
        <f t="shared" si="5"/>
        <v>1305306.3107191734</v>
      </c>
      <c r="F100" s="18">
        <f t="shared" si="6"/>
        <v>38635.396312103025</v>
      </c>
      <c r="G100" s="18">
        <f t="shared" si="7"/>
        <v>7396.7357607419835</v>
      </c>
      <c r="H100" s="18">
        <f t="shared" si="8"/>
        <v>46032.132072845008</v>
      </c>
      <c r="I100" s="18">
        <f t="shared" si="9"/>
        <v>1266670.9144070703</v>
      </c>
    </row>
    <row r="101" spans="4:9" x14ac:dyDescent="0.3">
      <c r="D101" s="19">
        <v>91</v>
      </c>
      <c r="E101" s="18">
        <f t="shared" si="5"/>
        <v>1266670.9144070703</v>
      </c>
      <c r="F101" s="18">
        <f t="shared" si="6"/>
        <v>38854.33022453828</v>
      </c>
      <c r="G101" s="18">
        <f t="shared" si="7"/>
        <v>7177.8018483067317</v>
      </c>
      <c r="H101" s="18">
        <f t="shared" si="8"/>
        <v>46032.132072845008</v>
      </c>
      <c r="I101" s="18">
        <f t="shared" si="9"/>
        <v>1227816.584182532</v>
      </c>
    </row>
    <row r="102" spans="4:9" x14ac:dyDescent="0.3">
      <c r="D102" s="19">
        <v>92</v>
      </c>
      <c r="E102" s="18">
        <f t="shared" si="5"/>
        <v>1227816.584182532</v>
      </c>
      <c r="F102" s="18">
        <f t="shared" si="6"/>
        <v>39074.504762477329</v>
      </c>
      <c r="G102" s="18">
        <f t="shared" si="7"/>
        <v>6957.6273103676822</v>
      </c>
      <c r="H102" s="18">
        <f t="shared" si="8"/>
        <v>46032.132072845008</v>
      </c>
      <c r="I102" s="18">
        <f t="shared" si="9"/>
        <v>1188742.0794200548</v>
      </c>
    </row>
    <row r="103" spans="4:9" x14ac:dyDescent="0.3">
      <c r="D103" s="19">
        <v>93</v>
      </c>
      <c r="E103" s="18">
        <f t="shared" si="5"/>
        <v>1188742.0794200548</v>
      </c>
      <c r="F103" s="18">
        <f t="shared" si="6"/>
        <v>39295.926956131363</v>
      </c>
      <c r="G103" s="18">
        <f t="shared" si="7"/>
        <v>6736.2051167136442</v>
      </c>
      <c r="H103" s="18">
        <f t="shared" si="8"/>
        <v>46032.132072845008</v>
      </c>
      <c r="I103" s="18">
        <f t="shared" si="9"/>
        <v>1149446.1524639234</v>
      </c>
    </row>
    <row r="104" spans="4:9" x14ac:dyDescent="0.3">
      <c r="D104" s="19">
        <v>94</v>
      </c>
      <c r="E104" s="18">
        <f t="shared" si="5"/>
        <v>1149446.1524639234</v>
      </c>
      <c r="F104" s="18">
        <f t="shared" si="6"/>
        <v>39518.603875549437</v>
      </c>
      <c r="G104" s="18">
        <f t="shared" si="7"/>
        <v>6513.5281972955672</v>
      </c>
      <c r="H104" s="18">
        <f t="shared" si="8"/>
        <v>46032.132072845008</v>
      </c>
      <c r="I104" s="18">
        <f t="shared" si="9"/>
        <v>1109927.5485883739</v>
      </c>
    </row>
    <row r="105" spans="4:9" x14ac:dyDescent="0.3">
      <c r="D105" s="19">
        <v>95</v>
      </c>
      <c r="E105" s="18">
        <f t="shared" si="5"/>
        <v>1109927.5485883739</v>
      </c>
      <c r="F105" s="18">
        <f t="shared" si="6"/>
        <v>39742.542630844226</v>
      </c>
      <c r="G105" s="18">
        <f t="shared" si="7"/>
        <v>6289.5894420007862</v>
      </c>
      <c r="H105" s="18">
        <f t="shared" si="8"/>
        <v>46032.132072845008</v>
      </c>
      <c r="I105" s="18">
        <f t="shared" si="9"/>
        <v>1070185.0059575296</v>
      </c>
    </row>
    <row r="106" spans="4:9" x14ac:dyDescent="0.3">
      <c r="D106" s="19">
        <v>96</v>
      </c>
      <c r="E106" s="18">
        <f t="shared" si="5"/>
        <v>1070185.0059575296</v>
      </c>
      <c r="F106" s="18">
        <f t="shared" si="6"/>
        <v>39967.750372419003</v>
      </c>
      <c r="G106" s="18">
        <f t="shared" si="7"/>
        <v>6064.3817004260018</v>
      </c>
      <c r="H106" s="18">
        <f t="shared" si="8"/>
        <v>46032.132072845008</v>
      </c>
      <c r="I106" s="18">
        <f t="shared" si="9"/>
        <v>1030217.2555851106</v>
      </c>
    </row>
    <row r="107" spans="4:9" x14ac:dyDescent="0.3">
      <c r="D107" s="19">
        <v>97</v>
      </c>
      <c r="E107" s="18">
        <f t="shared" si="5"/>
        <v>1030217.2555851106</v>
      </c>
      <c r="F107" s="18">
        <f t="shared" si="6"/>
        <v>40194.234291196044</v>
      </c>
      <c r="G107" s="18">
        <f t="shared" si="7"/>
        <v>5837.8977816489605</v>
      </c>
      <c r="H107" s="18">
        <f t="shared" si="8"/>
        <v>46032.132072845008</v>
      </c>
      <c r="I107" s="18">
        <f t="shared" si="9"/>
        <v>990023.02129391464</v>
      </c>
    </row>
    <row r="108" spans="4:9" x14ac:dyDescent="0.3">
      <c r="D108" s="19">
        <v>98</v>
      </c>
      <c r="E108" s="18">
        <f t="shared" si="5"/>
        <v>990023.02129391464</v>
      </c>
      <c r="F108" s="18">
        <f t="shared" si="6"/>
        <v>40422.00161884616</v>
      </c>
      <c r="G108" s="18">
        <f t="shared" si="7"/>
        <v>5610.1304539988496</v>
      </c>
      <c r="H108" s="18">
        <f t="shared" si="8"/>
        <v>46032.132072845008</v>
      </c>
      <c r="I108" s="18">
        <f t="shared" si="9"/>
        <v>949601.01967506844</v>
      </c>
    </row>
    <row r="109" spans="4:9" x14ac:dyDescent="0.3">
      <c r="D109" s="19">
        <v>99</v>
      </c>
      <c r="E109" s="18">
        <f t="shared" si="5"/>
        <v>949601.01967506844</v>
      </c>
      <c r="F109" s="18">
        <f t="shared" si="6"/>
        <v>40651.059628019619</v>
      </c>
      <c r="G109" s="18">
        <f t="shared" si="7"/>
        <v>5381.0724448253886</v>
      </c>
      <c r="H109" s="18">
        <f t="shared" si="8"/>
        <v>46032.132072845008</v>
      </c>
      <c r="I109" s="18">
        <f t="shared" si="9"/>
        <v>908949.96004704887</v>
      </c>
    </row>
    <row r="110" spans="4:9" x14ac:dyDescent="0.3">
      <c r="D110" s="19">
        <v>100</v>
      </c>
      <c r="E110" s="18">
        <f t="shared" si="5"/>
        <v>908949.96004704887</v>
      </c>
      <c r="F110" s="18">
        <f t="shared" si="6"/>
        <v>40881.415632578399</v>
      </c>
      <c r="G110" s="18">
        <f t="shared" si="7"/>
        <v>5150.7164402666103</v>
      </c>
      <c r="H110" s="18">
        <f t="shared" si="8"/>
        <v>46032.132072845008</v>
      </c>
      <c r="I110" s="18">
        <f t="shared" si="9"/>
        <v>868068.54441447044</v>
      </c>
    </row>
    <row r="111" spans="4:9" x14ac:dyDescent="0.3">
      <c r="D111" s="19">
        <v>101</v>
      </c>
      <c r="E111" s="18">
        <f t="shared" si="5"/>
        <v>868068.54441447044</v>
      </c>
      <c r="F111" s="18">
        <f t="shared" si="6"/>
        <v>41113.076987829678</v>
      </c>
      <c r="G111" s="18">
        <f t="shared" si="7"/>
        <v>4919.0550850153331</v>
      </c>
      <c r="H111" s="18">
        <f t="shared" si="8"/>
        <v>46032.132072845008</v>
      </c>
      <c r="I111" s="18">
        <f t="shared" si="9"/>
        <v>826955.4674266408</v>
      </c>
    </row>
    <row r="112" spans="4:9" x14ac:dyDescent="0.3">
      <c r="D112" s="19">
        <v>102</v>
      </c>
      <c r="E112" s="18">
        <f t="shared" si="5"/>
        <v>826955.4674266408</v>
      </c>
      <c r="F112" s="18">
        <f t="shared" si="6"/>
        <v>41346.051090760709</v>
      </c>
      <c r="G112" s="18">
        <f t="shared" si="7"/>
        <v>4686.0809820842978</v>
      </c>
      <c r="H112" s="18">
        <f t="shared" si="8"/>
        <v>46032.132072845008</v>
      </c>
      <c r="I112" s="18">
        <f t="shared" si="9"/>
        <v>785609.41633588006</v>
      </c>
    </row>
    <row r="113" spans="4:9" x14ac:dyDescent="0.3">
      <c r="D113" s="19">
        <v>103</v>
      </c>
      <c r="E113" s="18">
        <f t="shared" si="5"/>
        <v>785609.41633588006</v>
      </c>
      <c r="F113" s="18">
        <f t="shared" si="6"/>
        <v>41580.345380275023</v>
      </c>
      <c r="G113" s="18">
        <f t="shared" si="7"/>
        <v>4451.7866925699873</v>
      </c>
      <c r="H113" s="18">
        <f t="shared" si="8"/>
        <v>46032.132072845008</v>
      </c>
      <c r="I113" s="18">
        <f t="shared" si="9"/>
        <v>744029.07095560501</v>
      </c>
    </row>
    <row r="114" spans="4:9" x14ac:dyDescent="0.3">
      <c r="D114" s="19">
        <v>104</v>
      </c>
      <c r="E114" s="18">
        <f t="shared" si="5"/>
        <v>744029.07095560501</v>
      </c>
      <c r="F114" s="18">
        <f t="shared" si="6"/>
        <v>41815.967337429916</v>
      </c>
      <c r="G114" s="18">
        <f t="shared" si="7"/>
        <v>4216.1647354150955</v>
      </c>
      <c r="H114" s="18">
        <f t="shared" si="8"/>
        <v>46032.132072845008</v>
      </c>
      <c r="I114" s="18">
        <f t="shared" si="9"/>
        <v>702213.10361817514</v>
      </c>
    </row>
    <row r="115" spans="4:9" x14ac:dyDescent="0.3">
      <c r="D115" s="19">
        <v>105</v>
      </c>
      <c r="E115" s="18">
        <f t="shared" si="5"/>
        <v>702213.10361817514</v>
      </c>
      <c r="F115" s="18">
        <f t="shared" si="6"/>
        <v>42052.92448567535</v>
      </c>
      <c r="G115" s="18">
        <f t="shared" si="7"/>
        <v>3979.2075871696593</v>
      </c>
      <c r="H115" s="18">
        <f t="shared" si="8"/>
        <v>46032.132072845008</v>
      </c>
      <c r="I115" s="18">
        <f t="shared" si="9"/>
        <v>660160.17913249973</v>
      </c>
    </row>
    <row r="116" spans="4:9" x14ac:dyDescent="0.3">
      <c r="D116" s="19">
        <v>106</v>
      </c>
      <c r="E116" s="18">
        <f t="shared" si="5"/>
        <v>660160.17913249973</v>
      </c>
      <c r="F116" s="18">
        <f t="shared" si="6"/>
        <v>42291.224391094176</v>
      </c>
      <c r="G116" s="18">
        <f t="shared" si="7"/>
        <v>3740.9076817508321</v>
      </c>
      <c r="H116" s="18">
        <f t="shared" si="8"/>
        <v>46032.132072845008</v>
      </c>
      <c r="I116" s="18">
        <f t="shared" si="9"/>
        <v>617868.95474140556</v>
      </c>
    </row>
    <row r="117" spans="4:9" x14ac:dyDescent="0.3">
      <c r="D117" s="19">
        <v>107</v>
      </c>
      <c r="E117" s="18">
        <f t="shared" si="5"/>
        <v>617868.95474140556</v>
      </c>
      <c r="F117" s="18">
        <f t="shared" si="6"/>
        <v>42530.874662643706</v>
      </c>
      <c r="G117" s="18">
        <f t="shared" si="7"/>
        <v>3501.2574102012986</v>
      </c>
      <c r="H117" s="18">
        <f t="shared" si="8"/>
        <v>46032.132072845008</v>
      </c>
      <c r="I117" s="18">
        <f t="shared" si="9"/>
        <v>575338.08007876179</v>
      </c>
    </row>
    <row r="118" spans="4:9" x14ac:dyDescent="0.3">
      <c r="D118" s="19">
        <v>108</v>
      </c>
      <c r="E118" s="18">
        <f t="shared" si="5"/>
        <v>575338.08007876179</v>
      </c>
      <c r="F118" s="18">
        <f t="shared" si="6"/>
        <v>42771.882952398693</v>
      </c>
      <c r="G118" s="18">
        <f t="shared" si="7"/>
        <v>3260.2491204463172</v>
      </c>
      <c r="H118" s="18">
        <f t="shared" si="8"/>
        <v>46032.132072845008</v>
      </c>
      <c r="I118" s="18">
        <f t="shared" si="9"/>
        <v>532566.19712636305</v>
      </c>
    </row>
    <row r="119" spans="4:9" x14ac:dyDescent="0.3">
      <c r="D119" s="19">
        <v>109</v>
      </c>
      <c r="E119" s="18">
        <f t="shared" si="5"/>
        <v>532566.19712636305</v>
      </c>
      <c r="F119" s="18">
        <f t="shared" si="6"/>
        <v>43014.256955795616</v>
      </c>
      <c r="G119" s="18">
        <f t="shared" si="7"/>
        <v>3017.8751170493906</v>
      </c>
      <c r="H119" s="18">
        <f t="shared" si="8"/>
        <v>46032.132072845008</v>
      </c>
      <c r="I119" s="18">
        <f t="shared" si="9"/>
        <v>489551.94017056742</v>
      </c>
    </row>
    <row r="120" spans="4:9" x14ac:dyDescent="0.3">
      <c r="D120" s="19">
        <v>110</v>
      </c>
      <c r="E120" s="18">
        <f t="shared" si="5"/>
        <v>489551.94017056742</v>
      </c>
      <c r="F120" s="18">
        <f t="shared" si="6"/>
        <v>43258.004411878457</v>
      </c>
      <c r="G120" s="18">
        <f t="shared" si="7"/>
        <v>2774.1276609665492</v>
      </c>
      <c r="H120" s="18">
        <f t="shared" si="8"/>
        <v>46032.132072845008</v>
      </c>
      <c r="I120" s="18">
        <f t="shared" si="9"/>
        <v>446293.93575868895</v>
      </c>
    </row>
    <row r="121" spans="4:9" x14ac:dyDescent="0.3">
      <c r="D121" s="19">
        <v>111</v>
      </c>
      <c r="E121" s="18">
        <f t="shared" si="5"/>
        <v>446293.93575868895</v>
      </c>
      <c r="F121" s="18">
        <f t="shared" si="6"/>
        <v>43503.13310354577</v>
      </c>
      <c r="G121" s="18">
        <f t="shared" si="7"/>
        <v>2528.9989692992376</v>
      </c>
      <c r="H121" s="18">
        <f t="shared" si="8"/>
        <v>46032.132072845008</v>
      </c>
      <c r="I121" s="18">
        <f t="shared" si="9"/>
        <v>402790.8026551432</v>
      </c>
    </row>
    <row r="122" spans="4:9" x14ac:dyDescent="0.3">
      <c r="D122" s="19">
        <v>112</v>
      </c>
      <c r="E122" s="18">
        <f t="shared" si="5"/>
        <v>402790.8026551432</v>
      </c>
      <c r="F122" s="18">
        <f t="shared" si="6"/>
        <v>43749.650857799199</v>
      </c>
      <c r="G122" s="18">
        <f t="shared" si="7"/>
        <v>2282.4812150458115</v>
      </c>
      <c r="H122" s="18">
        <f t="shared" si="8"/>
        <v>46032.132072845008</v>
      </c>
      <c r="I122" s="18">
        <f t="shared" si="9"/>
        <v>359041.15179734398</v>
      </c>
    </row>
    <row r="123" spans="4:9" x14ac:dyDescent="0.3">
      <c r="D123" s="19">
        <v>113</v>
      </c>
      <c r="E123" s="18">
        <f t="shared" si="5"/>
        <v>359041.15179734398</v>
      </c>
      <c r="F123" s="18">
        <f t="shared" si="6"/>
        <v>43997.565545993391</v>
      </c>
      <c r="G123" s="18">
        <f t="shared" si="7"/>
        <v>2034.5665268516159</v>
      </c>
      <c r="H123" s="18">
        <f t="shared" si="8"/>
        <v>46032.132072845008</v>
      </c>
      <c r="I123" s="18">
        <f t="shared" si="9"/>
        <v>315043.58625135059</v>
      </c>
    </row>
    <row r="124" spans="4:9" x14ac:dyDescent="0.3">
      <c r="D124" s="19">
        <v>114</v>
      </c>
      <c r="E124" s="18">
        <f t="shared" si="5"/>
        <v>315043.58625135059</v>
      </c>
      <c r="F124" s="18">
        <f t="shared" si="6"/>
        <v>44246.885084087357</v>
      </c>
      <c r="G124" s="18">
        <f t="shared" si="7"/>
        <v>1785.2469887576535</v>
      </c>
      <c r="H124" s="18">
        <f t="shared" si="8"/>
        <v>46032.132072845008</v>
      </c>
      <c r="I124" s="18">
        <f t="shared" si="9"/>
        <v>270796.70116726321</v>
      </c>
    </row>
    <row r="125" spans="4:9" x14ac:dyDescent="0.3">
      <c r="D125" s="19">
        <v>115</v>
      </c>
      <c r="E125" s="18">
        <f t="shared" si="5"/>
        <v>270796.70116726321</v>
      </c>
      <c r="F125" s="18">
        <f t="shared" si="6"/>
        <v>44497.617432897183</v>
      </c>
      <c r="G125" s="18">
        <f t="shared" si="7"/>
        <v>1534.5146399478251</v>
      </c>
      <c r="H125" s="18">
        <f t="shared" si="8"/>
        <v>46032.132072845008</v>
      </c>
      <c r="I125" s="18">
        <f t="shared" si="9"/>
        <v>226299.08373436602</v>
      </c>
    </row>
    <row r="126" spans="4:9" x14ac:dyDescent="0.3">
      <c r="D126" s="19">
        <v>116</v>
      </c>
      <c r="E126" s="18">
        <f t="shared" si="5"/>
        <v>226299.08373436602</v>
      </c>
      <c r="F126" s="18">
        <f t="shared" si="6"/>
        <v>44749.770598350267</v>
      </c>
      <c r="G126" s="18">
        <f t="shared" si="7"/>
        <v>1282.3614744947408</v>
      </c>
      <c r="H126" s="18">
        <f t="shared" si="8"/>
        <v>46032.132072845008</v>
      </c>
      <c r="I126" s="18">
        <f t="shared" si="9"/>
        <v>181549.31313601576</v>
      </c>
    </row>
    <row r="127" spans="4:9" x14ac:dyDescent="0.3">
      <c r="D127" s="19">
        <v>117</v>
      </c>
      <c r="E127" s="18">
        <f t="shared" si="5"/>
        <v>181549.31313601576</v>
      </c>
      <c r="F127" s="18">
        <f t="shared" si="6"/>
        <v>45003.35263174092</v>
      </c>
      <c r="G127" s="18">
        <f t="shared" si="7"/>
        <v>1028.7794411040893</v>
      </c>
      <c r="H127" s="18">
        <f t="shared" si="8"/>
        <v>46032.132072845008</v>
      </c>
      <c r="I127" s="18">
        <f t="shared" si="9"/>
        <v>136545.96050427484</v>
      </c>
    </row>
    <row r="128" spans="4:9" x14ac:dyDescent="0.3">
      <c r="D128" s="19">
        <v>118</v>
      </c>
      <c r="E128" s="18">
        <f t="shared" si="5"/>
        <v>136545.96050427484</v>
      </c>
      <c r="F128" s="18">
        <f t="shared" si="6"/>
        <v>45258.37162998745</v>
      </c>
      <c r="G128" s="18">
        <f t="shared" si="7"/>
        <v>773.76044285755745</v>
      </c>
      <c r="H128" s="18">
        <f t="shared" si="8"/>
        <v>46032.132072845008</v>
      </c>
      <c r="I128" s="18">
        <f t="shared" si="9"/>
        <v>91287.588874287394</v>
      </c>
    </row>
    <row r="129" spans="4:9" x14ac:dyDescent="0.3">
      <c r="D129" s="19">
        <v>119</v>
      </c>
      <c r="E129" s="18">
        <f t="shared" si="5"/>
        <v>91287.588874287394</v>
      </c>
      <c r="F129" s="18">
        <f t="shared" si="6"/>
        <v>45514.835735890716</v>
      </c>
      <c r="G129" s="18">
        <f t="shared" si="7"/>
        <v>517.29633695429527</v>
      </c>
      <c r="H129" s="18">
        <f t="shared" si="8"/>
        <v>46032.132072845008</v>
      </c>
      <c r="I129" s="18">
        <f t="shared" si="9"/>
        <v>45772.753138396678</v>
      </c>
    </row>
    <row r="130" spans="4:9" x14ac:dyDescent="0.3">
      <c r="D130" s="19">
        <v>120</v>
      </c>
      <c r="E130" s="18">
        <f t="shared" si="5"/>
        <v>45772.753138396678</v>
      </c>
      <c r="F130" s="18">
        <f t="shared" si="6"/>
        <v>45772.753138394095</v>
      </c>
      <c r="G130" s="18">
        <f t="shared" si="7"/>
        <v>259.37893445091453</v>
      </c>
      <c r="H130" s="18">
        <f t="shared" si="8"/>
        <v>46032.132072845008</v>
      </c>
      <c r="I130" s="18">
        <f t="shared" si="9"/>
        <v>2.5829649530351162E-9</v>
      </c>
    </row>
  </sheetData>
  <mergeCells count="2">
    <mergeCell ref="D7:E7"/>
    <mergeCell ref="O4:P4"/>
  </mergeCells>
  <hyperlinks>
    <hyperlink ref="O4:P4" location="'Formatted EMI Schedule'!A1" display="EMI Calculator Schedule" xr:uid="{21797C4D-140D-4BEA-8F52-F8F32C26AA99}"/>
  </hyperlink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Formatted EMI Schedule</vt:lpstr>
      <vt:lpstr>Formatted EMI Schedule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Adithya_1st MBA</dc:creator>
  <cp:lastModifiedBy>Adithya S</cp:lastModifiedBy>
  <dcterms:created xsi:type="dcterms:W3CDTF">2015-06-05T18:17:20Z</dcterms:created>
  <dcterms:modified xsi:type="dcterms:W3CDTF">2025-07-16T11:18:42Z</dcterms:modified>
</cp:coreProperties>
</file>