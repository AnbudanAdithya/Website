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workbookPr codeName="ThisWorkbook"/>
  <mc:AlternateContent xmlns:mc="http://schemas.openxmlformats.org/markup-compatibility/2006">
    <mc:Choice Requires="x15">
      <x15ac:absPath xmlns:x15ac="http://schemas.microsoft.com/office/spreadsheetml/2010/11/ac" url="D:\PERSONAL\Website\New Website\Files\Excel\"/>
    </mc:Choice>
  </mc:AlternateContent>
  <xr:revisionPtr revIDLastSave="0" documentId="13_ncr:1_{05013E47-9984-4FC6-B5C8-36EAA7432B4E}" xr6:coauthVersionLast="47" xr6:coauthVersionMax="47" xr10:uidLastSave="{00000000-0000-0000-0000-000000000000}"/>
  <bookViews>
    <workbookView xWindow="-108" yWindow="-108" windowWidth="23256" windowHeight="12456" xr2:uid="{00000000-000D-0000-FFFF-FFFF00000000}"/>
  </bookViews>
  <sheets>
    <sheet name="BEP - What If Analysis" sheetId="1" r:id="rId1"/>
    <sheet name="Sensitivity Analysis" sheetId="2" r:id="rId2"/>
    <sheet name="Scenario Manager" sheetId="4" r:id="rId3"/>
    <sheet name="Scenario Summary" sheetId="8"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7" i="2" l="1"/>
  <c r="D6" i="2"/>
  <c r="D17" i="2" s="1"/>
  <c r="D5" i="1"/>
  <c r="L5" i="2"/>
  <c r="M5" i="2" s="1"/>
  <c r="N5" i="2" s="1"/>
  <c r="O5" i="2" s="1"/>
  <c r="P5" i="2" s="1"/>
  <c r="Q5" i="2" s="1"/>
  <c r="R5" i="2" s="1"/>
  <c r="S5" i="2" s="1"/>
  <c r="D7" i="2"/>
  <c r="K6" i="2"/>
  <c r="K7" i="2" s="1"/>
  <c r="K8" i="2" s="1"/>
  <c r="K9" i="2" s="1"/>
  <c r="K10" i="2" s="1"/>
  <c r="K11" i="2" s="1"/>
  <c r="K12" i="2" s="1"/>
  <c r="K13" i="2" s="1"/>
  <c r="K14" i="2" s="1"/>
  <c r="K15" i="2" s="1"/>
  <c r="K16" i="2" s="1"/>
  <c r="K17" i="2" s="1"/>
  <c r="D8" i="2"/>
  <c r="D14" i="2" s="1"/>
  <c r="E16" i="1"/>
  <c r="E17" i="1"/>
  <c r="E18" i="1"/>
  <c r="E19" i="1"/>
  <c r="E20" i="1"/>
  <c r="E21" i="1"/>
  <c r="E22" i="1"/>
  <c r="E23" i="1"/>
  <c r="E24" i="1"/>
  <c r="E25" i="1"/>
  <c r="E26" i="1"/>
  <c r="F15" i="1"/>
  <c r="E15" i="1"/>
  <c r="H16" i="1"/>
  <c r="H17" i="1"/>
  <c r="H18" i="1"/>
  <c r="H19" i="1"/>
  <c r="H20" i="1"/>
  <c r="H21" i="1"/>
  <c r="H22" i="1"/>
  <c r="H23" i="1"/>
  <c r="H24" i="1"/>
  <c r="H25" i="1"/>
  <c r="H26" i="1"/>
  <c r="H15" i="1"/>
  <c r="F16" i="1"/>
  <c r="F17" i="1"/>
  <c r="F18" i="1"/>
  <c r="F19" i="1"/>
  <c r="F20" i="1"/>
  <c r="F21" i="1"/>
  <c r="F22" i="1"/>
  <c r="F23" i="1"/>
  <c r="F24" i="1"/>
  <c r="F25" i="1"/>
  <c r="F26" i="1"/>
  <c r="M12" i="4"/>
  <c r="M8" i="4"/>
  <c r="M10" i="4" s="1"/>
  <c r="M9" i="4" l="1"/>
  <c r="M11" i="4" s="1"/>
  <c r="M13" i="4" s="1"/>
  <c r="D9" i="2"/>
  <c r="D15" i="2"/>
  <c r="D16" i="2" s="1"/>
  <c r="K5" i="2" s="1"/>
  <c r="G8" i="2"/>
  <c r="G9" i="2" s="1"/>
  <c r="G10" i="2" s="1"/>
  <c r="G11" i="2" s="1"/>
  <c r="G12" i="2" s="1"/>
  <c r="G13" i="2" s="1"/>
  <c r="G14" i="2" s="1"/>
  <c r="G15" i="2" s="1"/>
  <c r="G16" i="2" s="1"/>
  <c r="G17" i="2" s="1"/>
  <c r="G18" i="2" s="1"/>
  <c r="D6" i="1"/>
  <c r="D8" i="1" s="1"/>
  <c r="G17" i="1"/>
  <c r="I17" i="1" s="1"/>
  <c r="G15" i="1"/>
  <c r="I15" i="1" s="1"/>
  <c r="G26" i="1"/>
  <c r="I26" i="1" s="1"/>
  <c r="G25" i="1"/>
  <c r="I25" i="1" s="1"/>
  <c r="G24" i="1"/>
  <c r="I24" i="1" s="1"/>
  <c r="G23" i="1"/>
  <c r="I23" i="1" s="1"/>
  <c r="G22" i="1"/>
  <c r="I22" i="1" s="1"/>
  <c r="G21" i="1"/>
  <c r="I21" i="1" s="1"/>
  <c r="G20" i="1"/>
  <c r="I20" i="1" s="1"/>
  <c r="G19" i="1"/>
  <c r="I19" i="1" s="1"/>
  <c r="G18" i="1"/>
  <c r="I18" i="1" s="1"/>
  <c r="G16" i="1"/>
  <c r="I16" i="1" s="1"/>
  <c r="I6" i="2" l="1"/>
  <c r="D18" i="2"/>
  <c r="D11" i="2"/>
  <c r="D10" i="2"/>
  <c r="D12" i="2" s="1"/>
  <c r="D7" i="1"/>
  <c r="H6"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Adithya_1st MBA</author>
  </authors>
  <commentList>
    <comment ref="D2" authorId="0" shapeId="0" xr:uid="{FCD92A0C-0A73-4115-8584-26AA35261855}">
      <text>
        <r>
          <rPr>
            <b/>
            <sz val="10"/>
            <color indexed="81"/>
            <rFont val="Aptos"/>
            <family val="2"/>
          </rPr>
          <t>Adithya:</t>
        </r>
        <r>
          <rPr>
            <sz val="10"/>
            <color indexed="81"/>
            <rFont val="Aptos"/>
            <family val="2"/>
          </rPr>
          <t xml:space="preserve">
This is the amount that remains fixed in the short run and won't vary with the number of units produced.
Use the arrows on the right to adjust the values as per requirements.</t>
        </r>
      </text>
    </comment>
    <comment ref="D3" authorId="0" shapeId="0" xr:uid="{8745843E-0F38-4409-9D9D-FC5EE0CCB69C}">
      <text>
        <r>
          <rPr>
            <b/>
            <sz val="10"/>
            <color indexed="81"/>
            <rFont val="Aptos"/>
            <family val="2"/>
          </rPr>
          <t>Adithya</t>
        </r>
        <r>
          <rPr>
            <sz val="10"/>
            <color indexed="81"/>
            <rFont val="Aptos"/>
            <family val="2"/>
          </rPr>
          <t xml:space="preserve">
This is the per unit cost of producing a unit.
Use the arrows on the right to adjust values as required.</t>
        </r>
      </text>
    </comment>
    <comment ref="D4" authorId="0" shapeId="0" xr:uid="{E7C42E00-4FE6-4B50-86BA-0456BC9BC3CE}">
      <text>
        <r>
          <rPr>
            <b/>
            <sz val="10"/>
            <color indexed="81"/>
            <rFont val="Aptos"/>
            <family val="2"/>
          </rPr>
          <t>Adithya:</t>
        </r>
        <r>
          <rPr>
            <sz val="10"/>
            <color indexed="81"/>
            <rFont val="Aptos"/>
            <family val="2"/>
          </rPr>
          <t xml:space="preserve">
This is the per unit selling price of a unit.
Use the arrows to adjust the values as required</t>
        </r>
      </text>
    </comment>
    <comment ref="D5" authorId="0" shapeId="0" xr:uid="{C43D39B6-5A51-47EC-A2F2-28B721ECD876}">
      <text>
        <r>
          <rPr>
            <b/>
            <sz val="10"/>
            <color indexed="81"/>
            <rFont val="Aptos"/>
            <family val="2"/>
          </rPr>
          <t xml:space="preserve">Adithya:
</t>
        </r>
        <r>
          <rPr>
            <sz val="10"/>
            <color indexed="81"/>
            <rFont val="Aptos"/>
            <family val="2"/>
          </rPr>
          <t>This is the per unit revenue that is available to cover the company's fixed costs.</t>
        </r>
      </text>
    </comment>
    <comment ref="D7" authorId="0" shapeId="0" xr:uid="{1C449881-6AAE-41B8-9B27-47C8E86F27FC}">
      <text>
        <r>
          <rPr>
            <b/>
            <sz val="9"/>
            <color indexed="81"/>
            <rFont val="Tahoma"/>
            <family val="2"/>
          </rPr>
          <t>Adithya:</t>
        </r>
        <r>
          <rPr>
            <sz val="9"/>
            <color indexed="81"/>
            <rFont val="Tahoma"/>
            <family val="2"/>
          </rPr>
          <t xml:space="preserve">
This is the number of units required to break even (No Profit, No Loss i.e., 
</t>
        </r>
        <r>
          <rPr>
            <i/>
            <sz val="9"/>
            <color indexed="81"/>
            <rFont val="Tahoma"/>
            <family val="2"/>
          </rPr>
          <t xml:space="preserve">Fixed Costs = Variable Costs + Fixed Costs (or)
Revenue = Total Costs
</t>
        </r>
      </text>
    </comment>
    <comment ref="D8" authorId="0" shapeId="0" xr:uid="{B2FCF7F3-DE42-4100-9E95-31D3FDB38058}">
      <text>
        <r>
          <rPr>
            <b/>
            <sz val="9"/>
            <color indexed="81"/>
            <rFont val="Tahoma"/>
            <family val="2"/>
          </rPr>
          <t xml:space="preserve">Adithya:
</t>
        </r>
        <r>
          <rPr>
            <sz val="9"/>
            <color indexed="81"/>
            <rFont val="Tahoma"/>
            <family val="2"/>
          </rPr>
          <t>This is the amount of sales that is required to break even</t>
        </r>
      </text>
    </comment>
    <comment ref="D13" authorId="0" shapeId="0" xr:uid="{790D8632-8468-4E42-AAE1-682F00C74E68}">
      <text>
        <r>
          <rPr>
            <b/>
            <sz val="10"/>
            <color indexed="81"/>
            <rFont val="Aptos"/>
            <family val="2"/>
          </rPr>
          <t>Adithya:</t>
        </r>
        <r>
          <rPr>
            <sz val="10"/>
            <color indexed="81"/>
            <rFont val="Aptos"/>
            <family val="2"/>
          </rPr>
          <t xml:space="preserve">
See the effects of changes in the "Input Variables" in this table.
Note the quantity where Break Even is achieved)</t>
        </r>
        <r>
          <rPr>
            <sz val="9"/>
            <color indexed="81"/>
            <rFont val="Tahoma"/>
            <family val="2"/>
          </rPr>
          <t xml:space="preserve">
</t>
        </r>
      </text>
    </comment>
    <comment ref="F14" authorId="0" shapeId="0" xr:uid="{D0C5ADF3-3049-4A22-8193-8AEFD586E9CD}">
      <text>
        <r>
          <rPr>
            <b/>
            <sz val="10"/>
            <color indexed="81"/>
            <rFont val="Aptos"/>
            <family val="2"/>
          </rPr>
          <t xml:space="preserve">Adithya:
</t>
        </r>
        <r>
          <rPr>
            <sz val="10"/>
            <color indexed="81"/>
            <rFont val="Aptos"/>
            <family val="2"/>
          </rPr>
          <t xml:space="preserve">Variable Cost = Variable Cost/unit * Quantity
</t>
        </r>
      </text>
    </comment>
    <comment ref="G14" authorId="0" shapeId="0" xr:uid="{EC4CE626-4BD7-4C96-A688-EB7184C0C454}">
      <text>
        <r>
          <rPr>
            <b/>
            <sz val="10"/>
            <color indexed="81"/>
            <rFont val="Aptos"/>
            <family val="2"/>
          </rPr>
          <t xml:space="preserve">Adithya:
</t>
        </r>
        <r>
          <rPr>
            <sz val="10"/>
            <color indexed="81"/>
            <rFont val="Aptos"/>
            <family val="2"/>
          </rPr>
          <t>Total Cost = Variable Cost + Fixed Costs.</t>
        </r>
      </text>
    </comment>
    <comment ref="I14" authorId="0" shapeId="0" xr:uid="{7DC3DA02-5920-4971-B9B1-D00A32F37CB4}">
      <text>
        <r>
          <rPr>
            <b/>
            <sz val="10"/>
            <color indexed="81"/>
            <rFont val="Aptos"/>
            <family val="2"/>
          </rPr>
          <t>Adithya:</t>
        </r>
        <r>
          <rPr>
            <sz val="10"/>
            <color indexed="81"/>
            <rFont val="Aptos"/>
            <family val="2"/>
          </rPr>
          <t xml:space="preserve">
Any point before break even point, there is loss and any point beyond break even, there is profit.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Adithya_1st MBA</author>
  </authors>
  <commentList>
    <comment ref="C2" authorId="0" shapeId="0" xr:uid="{DCBE56D7-E495-4490-BD5E-F930C4BD7E9C}">
      <text>
        <r>
          <rPr>
            <b/>
            <sz val="10"/>
            <color indexed="81"/>
            <rFont val="Aptos"/>
            <family val="2"/>
          </rPr>
          <t>Adithya:</t>
        </r>
        <r>
          <rPr>
            <sz val="10"/>
            <color indexed="81"/>
            <rFont val="Aptos"/>
            <family val="2"/>
          </rPr>
          <t xml:space="preserve">
Use the arrows and see the sesnsitivity of changes in sales quantity, Fixed Costs, Variable Cost per unit, Sales Price per unit on profit, contribution.
Explore this sheet to understand the degree of change of one variable on the other variable.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Adithya_1st MBA</author>
  </authors>
  <commentList>
    <comment ref="E19" authorId="0" shapeId="0" xr:uid="{796516D7-72E4-4066-B2E1-78EC09189BDF}">
      <text>
        <r>
          <rPr>
            <b/>
            <sz val="10"/>
            <color indexed="81"/>
            <rFont val="Aptos"/>
            <family val="2"/>
          </rPr>
          <t>Adithya_1st MBA:</t>
        </r>
        <r>
          <rPr>
            <sz val="10"/>
            <color indexed="81"/>
            <rFont val="Aptos"/>
            <family val="2"/>
          </rPr>
          <t xml:space="preserve">
Use the scenario manager to see how the profit will turn out to be under different circumstances.
Go to </t>
        </r>
        <r>
          <rPr>
            <b/>
            <sz val="10"/>
            <color indexed="81"/>
            <rFont val="Aptos"/>
            <family val="2"/>
          </rPr>
          <t>Data &gt; What If Analysis &gt; Scenario Manager</t>
        </r>
        <r>
          <rPr>
            <sz val="10"/>
            <color indexed="81"/>
            <rFont val="Aptos"/>
            <family val="2"/>
          </rPr>
          <t xml:space="preserve"> and see the required changes. If you wish to change the values, then do so in the scenario manager as required.</t>
        </r>
      </text>
    </comment>
  </commentList>
</comments>
</file>

<file path=xl/sharedStrings.xml><?xml version="1.0" encoding="utf-8"?>
<sst xmlns="http://schemas.openxmlformats.org/spreadsheetml/2006/main" count="77" uniqueCount="57">
  <si>
    <t>FC</t>
  </si>
  <si>
    <t>Fixed Cost</t>
  </si>
  <si>
    <t>Variable Cost</t>
  </si>
  <si>
    <t>Quantity</t>
  </si>
  <si>
    <t>Total Cost</t>
  </si>
  <si>
    <t>Revenue</t>
  </si>
  <si>
    <t>VC/ Unit</t>
  </si>
  <si>
    <t>SP/Unit</t>
  </si>
  <si>
    <t>CM%</t>
  </si>
  <si>
    <t>BEP(Units)</t>
  </si>
  <si>
    <t>BEP(Sales)</t>
  </si>
  <si>
    <t>Sales Quantity</t>
  </si>
  <si>
    <t>Sales Revenue</t>
  </si>
  <si>
    <t>Contribution</t>
  </si>
  <si>
    <t>Fixed Costs</t>
  </si>
  <si>
    <t>Profits</t>
  </si>
  <si>
    <t>TOTAL</t>
  </si>
  <si>
    <t>CM/Unit</t>
  </si>
  <si>
    <t>Profit</t>
  </si>
  <si>
    <t>Base Case</t>
  </si>
  <si>
    <t>Boom</t>
  </si>
  <si>
    <t>Recession</t>
  </si>
  <si>
    <t>VC</t>
  </si>
  <si>
    <t>SP</t>
  </si>
  <si>
    <t>Base</t>
  </si>
  <si>
    <t>Created by Adithya_1st MBA on 30-01-2025</t>
  </si>
  <si>
    <t>Scenario Summary</t>
  </si>
  <si>
    <t>Changing Cells:</t>
  </si>
  <si>
    <t>Current Values:</t>
  </si>
  <si>
    <t>Notes:  Current Values column represents values of changing cells at</t>
  </si>
  <si>
    <t>time Scenario Summary Report was created.  Changing cells for each</t>
  </si>
  <si>
    <t>scenario are highlighted in gray.</t>
  </si>
  <si>
    <t>$M$13</t>
  </si>
  <si>
    <t>Result Cells:</t>
  </si>
  <si>
    <t>Created by Adithya_1st MBA on 30-01-2025
Modified by Adithya_1st MBA on 30-01-2025</t>
  </si>
  <si>
    <t>Changing Case</t>
  </si>
  <si>
    <t>$G$11</t>
  </si>
  <si>
    <t>$G$12</t>
  </si>
  <si>
    <t>$G$13</t>
  </si>
  <si>
    <t>$G$14</t>
  </si>
  <si>
    <t>Input variables</t>
  </si>
  <si>
    <t>Summary Table</t>
  </si>
  <si>
    <t>One - Way Sensitivity Analysis</t>
  </si>
  <si>
    <t>Two - Way Sensitivity Analysis</t>
  </si>
  <si>
    <t>Input Table</t>
  </si>
  <si>
    <t>Results</t>
  </si>
  <si>
    <t>Parameters</t>
  </si>
  <si>
    <t>Contribution Margin (%)</t>
  </si>
  <si>
    <t>Fixed Costs (FC)</t>
  </si>
  <si>
    <t>Variable Cost/ Unit</t>
  </si>
  <si>
    <t>Sales Price/Unit</t>
  </si>
  <si>
    <t>Break Even Point (Sales)</t>
  </si>
  <si>
    <t>Break Even Point (Units)</t>
  </si>
  <si>
    <t>Contribution Margin/Unit</t>
  </si>
  <si>
    <t>SCENARIO ASSUMPTIONS</t>
  </si>
  <si>
    <t>Effect Table</t>
  </si>
  <si>
    <t>NOTE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</si>
</sst>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 #,##0.00_ ;_ * \-#,##0.00_ ;_ * &quot;-&quot;??_ ;_ @_ "/>
    <numFmt numFmtId="164" formatCode="&quot;₹&quot;\ #,##0.00"/>
    <numFmt numFmtId="165" formatCode="&quot;₹&quot;\ #,##0.00;[Red]&quot;₹&quot;\ #,##0.00"/>
  </numFmts>
  <fonts count="25" x14ac:knownFonts="1">
    <font>
      <sz val="11"/>
      <color theme="1"/>
      <name val="Calibri"/>
      <family val="2"/>
      <scheme val="minor"/>
    </font>
    <font>
      <sz val="12"/>
      <color theme="1"/>
      <name val="Aptos"/>
      <family val="2"/>
    </font>
    <font>
      <sz val="12"/>
      <color theme="1"/>
      <name val="Aptos"/>
      <family val="2"/>
    </font>
    <font>
      <sz val="12"/>
      <color theme="1"/>
      <name val="Aptos"/>
      <family val="2"/>
    </font>
    <font>
      <sz val="12"/>
      <color theme="1"/>
      <name val="Aptos"/>
      <family val="2"/>
    </font>
    <font>
      <sz val="11"/>
      <color theme="1"/>
      <name val="Calibri"/>
      <family val="2"/>
      <scheme val="minor"/>
    </font>
    <font>
      <sz val="11"/>
      <color theme="1"/>
      <name val="Aptos"/>
      <family val="2"/>
    </font>
    <font>
      <b/>
      <sz val="11"/>
      <color theme="1"/>
      <name val="Aptos"/>
      <family val="2"/>
    </font>
    <font>
      <sz val="20"/>
      <color theme="1"/>
      <name val="Aptos"/>
      <family val="2"/>
    </font>
    <font>
      <sz val="22"/>
      <color theme="1"/>
      <name val="Aptos"/>
      <family val="2"/>
    </font>
    <font>
      <sz val="16"/>
      <color theme="1"/>
      <name val="Aptos"/>
      <family val="2"/>
    </font>
    <font>
      <b/>
      <sz val="16"/>
      <color theme="1"/>
      <name val="Aptos"/>
      <family val="2"/>
    </font>
    <font>
      <b/>
      <sz val="28"/>
      <color theme="1"/>
      <name val="Aptos"/>
      <family val="2"/>
    </font>
    <font>
      <b/>
      <sz val="20"/>
      <color theme="1"/>
      <name val="Aptos"/>
      <family val="2"/>
    </font>
    <font>
      <b/>
      <sz val="22"/>
      <color theme="1"/>
      <name val="Aptos"/>
      <family val="2"/>
    </font>
    <font>
      <b/>
      <sz val="10"/>
      <color indexed="81"/>
      <name val="Aptos"/>
      <family val="2"/>
    </font>
    <font>
      <sz val="10"/>
      <color indexed="81"/>
      <name val="Aptos"/>
      <family val="2"/>
    </font>
    <font>
      <sz val="9"/>
      <color indexed="81"/>
      <name val="Tahoma"/>
      <family val="2"/>
    </font>
    <font>
      <b/>
      <sz val="9"/>
      <color indexed="81"/>
      <name val="Tahoma"/>
      <family val="2"/>
    </font>
    <font>
      <i/>
      <sz val="9"/>
      <color indexed="81"/>
      <name val="Tahoma"/>
      <family val="2"/>
    </font>
    <font>
      <b/>
      <sz val="14"/>
      <color theme="1"/>
      <name val="Aptos"/>
      <family val="2"/>
    </font>
    <font>
      <b/>
      <sz val="12"/>
      <color indexed="9"/>
      <name val="Aptos"/>
      <family val="2"/>
    </font>
    <font>
      <sz val="12"/>
      <color indexed="9"/>
      <name val="Aptos"/>
      <family val="2"/>
    </font>
    <font>
      <b/>
      <sz val="12"/>
      <color indexed="8"/>
      <name val="Aptos"/>
      <family val="2"/>
    </font>
    <font>
      <b/>
      <sz val="12"/>
      <color indexed="18"/>
      <name val="Aptos"/>
      <family val="2"/>
    </font>
  </fonts>
  <fills count="15">
    <fill>
      <patternFill patternType="none"/>
    </fill>
    <fill>
      <patternFill patternType="gray125"/>
    </fill>
    <fill>
      <patternFill patternType="solid">
        <fgColor theme="9"/>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
      <patternFill patternType="solid">
        <fgColor theme="4"/>
        <bgColor indexed="64"/>
      </patternFill>
    </fill>
    <fill>
      <patternFill patternType="solid">
        <fgColor theme="7"/>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3">
    <xf numFmtId="0" fontId="0" fillId="0" borderId="0"/>
    <xf numFmtId="9" fontId="5" fillId="0" borderId="0" applyFont="0" applyFill="0" applyBorder="0" applyAlignment="0" applyProtection="0"/>
    <xf numFmtId="43" fontId="5" fillId="0" borderId="0" applyFont="0" applyFill="0" applyBorder="0" applyAlignment="0" applyProtection="0"/>
  </cellStyleXfs>
  <cellXfs count="97">
    <xf numFmtId="0" fontId="0" fillId="0" borderId="0" xfId="0"/>
    <xf numFmtId="0" fontId="6" fillId="0" borderId="0" xfId="0" applyFont="1" applyAlignment="1">
      <alignment wrapText="1"/>
    </xf>
    <xf numFmtId="0" fontId="4" fillId="2" borderId="9" xfId="0" applyFont="1" applyFill="1" applyBorder="1" applyAlignment="1">
      <alignment vertical="center" wrapText="1"/>
    </xf>
    <xf numFmtId="0" fontId="4" fillId="2" borderId="11" xfId="0" applyFont="1" applyFill="1" applyBorder="1" applyAlignment="1">
      <alignment vertical="center" wrapText="1"/>
    </xf>
    <xf numFmtId="0" fontId="4" fillId="3" borderId="11" xfId="0" applyFont="1" applyFill="1" applyBorder="1" applyAlignment="1">
      <alignment vertical="center" wrapText="1"/>
    </xf>
    <xf numFmtId="0" fontId="4" fillId="4" borderId="11" xfId="0" applyFont="1" applyFill="1" applyBorder="1" applyAlignment="1">
      <alignment vertical="center" wrapText="1"/>
    </xf>
    <xf numFmtId="0" fontId="4" fillId="4" borderId="13" xfId="0" applyFont="1" applyFill="1" applyBorder="1" applyAlignment="1">
      <alignment vertical="center" wrapText="1"/>
    </xf>
    <xf numFmtId="9" fontId="4" fillId="3" borderId="12" xfId="1" applyFont="1" applyFill="1" applyBorder="1" applyAlignment="1">
      <alignment vertical="center" wrapText="1"/>
    </xf>
    <xf numFmtId="43" fontId="4" fillId="3" borderId="12" xfId="2" applyFont="1" applyFill="1" applyBorder="1" applyAlignment="1">
      <alignment vertical="center" wrapText="1"/>
    </xf>
    <xf numFmtId="43" fontId="4" fillId="5" borderId="12" xfId="2" applyFont="1" applyFill="1" applyBorder="1" applyAlignment="1">
      <alignment vertical="center" wrapText="1"/>
    </xf>
    <xf numFmtId="0" fontId="6" fillId="7" borderId="3" xfId="0" applyFont="1" applyFill="1" applyBorder="1" applyAlignment="1">
      <alignment wrapText="1"/>
    </xf>
    <xf numFmtId="164" fontId="4" fillId="4" borderId="12" xfId="2" applyNumberFormat="1" applyFont="1" applyFill="1" applyBorder="1" applyAlignment="1">
      <alignment vertical="center" wrapText="1"/>
    </xf>
    <xf numFmtId="164" fontId="4" fillId="4" borderId="14" xfId="2" applyNumberFormat="1" applyFont="1" applyFill="1" applyBorder="1" applyAlignment="1">
      <alignment vertical="center" wrapText="1"/>
    </xf>
    <xf numFmtId="164" fontId="4" fillId="3" borderId="12" xfId="2" applyNumberFormat="1" applyFont="1" applyFill="1" applyBorder="1" applyAlignment="1">
      <alignment vertical="center" wrapText="1"/>
    </xf>
    <xf numFmtId="164" fontId="4" fillId="2" borderId="10" xfId="2" applyNumberFormat="1" applyFont="1" applyFill="1" applyBorder="1" applyAlignment="1">
      <alignment vertical="center" wrapText="1"/>
    </xf>
    <xf numFmtId="164" fontId="6" fillId="7" borderId="4" xfId="0" applyNumberFormat="1" applyFont="1" applyFill="1" applyBorder="1" applyAlignment="1">
      <alignment wrapText="1"/>
    </xf>
    <xf numFmtId="164" fontId="6" fillId="7" borderId="5" xfId="0" applyNumberFormat="1" applyFont="1" applyFill="1" applyBorder="1" applyAlignment="1">
      <alignment wrapText="1"/>
    </xf>
    <xf numFmtId="164" fontId="6" fillId="8" borderId="3" xfId="0" applyNumberFormat="1" applyFont="1" applyFill="1" applyBorder="1" applyAlignment="1">
      <alignment wrapText="1"/>
    </xf>
    <xf numFmtId="164" fontId="6" fillId="8" borderId="4" xfId="0" applyNumberFormat="1" applyFont="1" applyFill="1" applyBorder="1" applyAlignment="1">
      <alignment wrapText="1"/>
    </xf>
    <xf numFmtId="164" fontId="6" fillId="8" borderId="5" xfId="0" applyNumberFormat="1" applyFont="1" applyFill="1" applyBorder="1" applyAlignment="1">
      <alignment wrapText="1"/>
    </xf>
    <xf numFmtId="164" fontId="6" fillId="7" borderId="3" xfId="0" applyNumberFormat="1" applyFont="1" applyFill="1" applyBorder="1" applyAlignment="1">
      <alignment wrapText="1"/>
    </xf>
    <xf numFmtId="164" fontId="6" fillId="0" borderId="2" xfId="0" applyNumberFormat="1" applyFont="1" applyBorder="1" applyAlignment="1">
      <alignment wrapText="1"/>
    </xf>
    <xf numFmtId="164" fontId="6" fillId="7" borderId="15" xfId="0" applyNumberFormat="1" applyFont="1" applyFill="1" applyBorder="1" applyAlignment="1">
      <alignment wrapText="1"/>
    </xf>
    <xf numFmtId="164" fontId="6" fillId="7" borderId="16" xfId="0" applyNumberFormat="1" applyFont="1" applyFill="1" applyBorder="1" applyAlignment="1">
      <alignment wrapText="1"/>
    </xf>
    <xf numFmtId="164" fontId="6" fillId="7" borderId="17" xfId="0" applyNumberFormat="1" applyFont="1" applyFill="1" applyBorder="1" applyAlignment="1">
      <alignment wrapText="1"/>
    </xf>
    <xf numFmtId="165" fontId="6" fillId="9" borderId="7" xfId="0" applyNumberFormat="1" applyFont="1" applyFill="1" applyBorder="1" applyAlignment="1">
      <alignment wrapText="1"/>
    </xf>
    <xf numFmtId="165" fontId="6" fillId="9" borderId="0" xfId="0" applyNumberFormat="1" applyFont="1" applyFill="1" applyAlignment="1">
      <alignment wrapText="1"/>
    </xf>
    <xf numFmtId="165" fontId="6" fillId="9" borderId="18" xfId="0" applyNumberFormat="1" applyFont="1" applyFill="1" applyBorder="1" applyAlignment="1">
      <alignment wrapText="1"/>
    </xf>
    <xf numFmtId="165" fontId="6" fillId="9" borderId="8" xfId="0" applyNumberFormat="1" applyFont="1" applyFill="1" applyBorder="1" applyAlignment="1">
      <alignment wrapText="1"/>
    </xf>
    <xf numFmtId="165" fontId="6" fillId="9" borderId="19" xfId="0" applyNumberFormat="1" applyFont="1" applyFill="1" applyBorder="1" applyAlignment="1">
      <alignment wrapText="1"/>
    </xf>
    <xf numFmtId="165" fontId="6" fillId="9" borderId="20" xfId="0" applyNumberFormat="1" applyFont="1" applyFill="1" applyBorder="1" applyAlignment="1">
      <alignment wrapText="1"/>
    </xf>
    <xf numFmtId="0" fontId="3" fillId="0" borderId="0" xfId="0" applyFont="1" applyAlignment="1">
      <alignment wrapText="1"/>
    </xf>
    <xf numFmtId="0" fontId="4" fillId="4" borderId="9" xfId="0" applyFont="1" applyFill="1" applyBorder="1" applyAlignment="1">
      <alignment vertical="center" wrapText="1"/>
    </xf>
    <xf numFmtId="43" fontId="4" fillId="5" borderId="10" xfId="2" applyFont="1" applyFill="1" applyBorder="1" applyAlignment="1">
      <alignment vertical="center" wrapText="1"/>
    </xf>
    <xf numFmtId="0" fontId="3" fillId="0" borderId="1" xfId="0" applyFont="1" applyBorder="1" applyAlignment="1">
      <alignment wrapText="1"/>
    </xf>
    <xf numFmtId="0" fontId="3" fillId="0" borderId="24" xfId="0" applyFont="1" applyBorder="1" applyAlignment="1">
      <alignment wrapText="1"/>
    </xf>
    <xf numFmtId="0" fontId="10" fillId="0" borderId="0" xfId="0" applyFont="1" applyAlignment="1">
      <alignment vertical="center" wrapText="1"/>
    </xf>
    <xf numFmtId="0" fontId="10" fillId="2" borderId="9" xfId="0" applyFont="1" applyFill="1" applyBorder="1" applyAlignment="1">
      <alignment vertical="center" wrapText="1"/>
    </xf>
    <xf numFmtId="164" fontId="10" fillId="2" borderId="10" xfId="0" applyNumberFormat="1" applyFont="1" applyFill="1" applyBorder="1" applyAlignment="1">
      <alignment vertical="center" wrapText="1"/>
    </xf>
    <xf numFmtId="0" fontId="10" fillId="2" borderId="11" xfId="0" applyFont="1" applyFill="1" applyBorder="1" applyAlignment="1">
      <alignment vertical="center" wrapText="1"/>
    </xf>
    <xf numFmtId="164" fontId="10" fillId="2" borderId="12" xfId="0" applyNumberFormat="1" applyFont="1" applyFill="1" applyBorder="1" applyAlignment="1">
      <alignment vertical="center" wrapText="1"/>
    </xf>
    <xf numFmtId="0" fontId="10" fillId="3" borderId="11" xfId="0" applyFont="1" applyFill="1" applyBorder="1" applyAlignment="1">
      <alignment vertical="center" wrapText="1"/>
    </xf>
    <xf numFmtId="164" fontId="10" fillId="3" borderId="12" xfId="0" applyNumberFormat="1" applyFont="1" applyFill="1" applyBorder="1" applyAlignment="1">
      <alignment vertical="center" wrapText="1"/>
    </xf>
    <xf numFmtId="10" fontId="10" fillId="3" borderId="12" xfId="1" applyNumberFormat="1" applyFont="1" applyFill="1" applyBorder="1" applyAlignment="1">
      <alignment vertical="center" wrapText="1"/>
    </xf>
    <xf numFmtId="2" fontId="10" fillId="3" borderId="12" xfId="0" applyNumberFormat="1" applyFont="1" applyFill="1" applyBorder="1" applyAlignment="1">
      <alignment vertical="center" wrapText="1"/>
    </xf>
    <xf numFmtId="0" fontId="10" fillId="3" borderId="13" xfId="0" applyFont="1" applyFill="1" applyBorder="1" applyAlignment="1">
      <alignment vertical="center" wrapText="1"/>
    </xf>
    <xf numFmtId="164" fontId="10" fillId="3" borderId="14" xfId="0" applyNumberFormat="1" applyFont="1" applyFill="1" applyBorder="1" applyAlignment="1">
      <alignment vertical="center" wrapText="1"/>
    </xf>
    <xf numFmtId="164" fontId="7" fillId="0" borderId="2" xfId="0" applyNumberFormat="1" applyFont="1" applyBorder="1" applyAlignment="1">
      <alignment wrapText="1"/>
    </xf>
    <xf numFmtId="0" fontId="7" fillId="0" borderId="5" xfId="0" applyFont="1" applyBorder="1" applyAlignment="1">
      <alignment wrapText="1"/>
    </xf>
    <xf numFmtId="0" fontId="12" fillId="0" borderId="3" xfId="0" applyFont="1" applyBorder="1" applyAlignment="1">
      <alignment horizontal="center" vertical="center" textRotation="90" wrapText="1"/>
    </xf>
    <xf numFmtId="0" fontId="12" fillId="0" borderId="4" xfId="0" applyFont="1" applyBorder="1" applyAlignment="1">
      <alignment horizontal="center" vertical="center" textRotation="90" wrapText="1"/>
    </xf>
    <xf numFmtId="0" fontId="12" fillId="0" borderId="5" xfId="0" applyFont="1" applyBorder="1" applyAlignment="1">
      <alignment horizontal="center" vertical="center" textRotation="90" wrapText="1"/>
    </xf>
    <xf numFmtId="0" fontId="14" fillId="0" borderId="15" xfId="0" applyFont="1" applyBorder="1" applyAlignment="1">
      <alignment horizontal="center" vertical="center" wrapText="1"/>
    </xf>
    <xf numFmtId="0" fontId="14" fillId="0" borderId="16" xfId="0" applyFont="1" applyBorder="1" applyAlignment="1">
      <alignment horizontal="center" vertical="center" wrapText="1"/>
    </xf>
    <xf numFmtId="0" fontId="14" fillId="0" borderId="17" xfId="0" applyFont="1" applyBorder="1" applyAlignment="1">
      <alignment horizontal="center" vertical="center" wrapText="1"/>
    </xf>
    <xf numFmtId="0" fontId="8" fillId="4" borderId="6" xfId="0" applyFont="1" applyFill="1" applyBorder="1" applyAlignment="1">
      <alignment horizontal="center" vertical="center" textRotation="90" wrapText="1"/>
    </xf>
    <xf numFmtId="0" fontId="8" fillId="4" borderId="7" xfId="0" applyFont="1" applyFill="1" applyBorder="1" applyAlignment="1">
      <alignment horizontal="center" vertical="center" textRotation="90" wrapText="1"/>
    </xf>
    <xf numFmtId="0" fontId="8" fillId="4" borderId="8" xfId="0" applyFont="1" applyFill="1" applyBorder="1" applyAlignment="1">
      <alignment horizontal="center" vertical="center" textRotation="90" wrapText="1"/>
    </xf>
    <xf numFmtId="0" fontId="9" fillId="6" borderId="3" xfId="0" applyFont="1" applyFill="1" applyBorder="1" applyAlignment="1">
      <alignment horizontal="center" vertical="center" textRotation="90" wrapText="1"/>
    </xf>
    <xf numFmtId="0" fontId="9" fillId="6" borderId="4" xfId="0" applyFont="1" applyFill="1" applyBorder="1" applyAlignment="1">
      <alignment horizontal="center" vertical="center" textRotation="90" wrapText="1"/>
    </xf>
    <xf numFmtId="0" fontId="9" fillId="6" borderId="5" xfId="0" applyFont="1" applyFill="1" applyBorder="1" applyAlignment="1">
      <alignment horizontal="center" vertical="center" textRotation="90" wrapText="1"/>
    </xf>
    <xf numFmtId="0" fontId="7" fillId="0" borderId="15" xfId="0" applyFont="1" applyBorder="1" applyAlignment="1">
      <alignment horizontal="center" wrapText="1"/>
    </xf>
    <xf numFmtId="0" fontId="7" fillId="0" borderId="16" xfId="0" applyFont="1" applyBorder="1" applyAlignment="1">
      <alignment horizontal="center" wrapText="1"/>
    </xf>
    <xf numFmtId="0" fontId="7" fillId="0" borderId="17" xfId="0" applyFont="1" applyBorder="1" applyAlignment="1">
      <alignment horizontal="center" wrapText="1"/>
    </xf>
    <xf numFmtId="0" fontId="13" fillId="4" borderId="6" xfId="0" applyFont="1" applyFill="1" applyBorder="1" applyAlignment="1">
      <alignment horizontal="center" vertical="center" textRotation="90" wrapText="1"/>
    </xf>
    <xf numFmtId="0" fontId="13" fillId="4" borderId="7" xfId="0" applyFont="1" applyFill="1" applyBorder="1" applyAlignment="1">
      <alignment horizontal="center" vertical="center" textRotation="90" wrapText="1"/>
    </xf>
    <xf numFmtId="0" fontId="13" fillId="4" borderId="8" xfId="0" applyFont="1" applyFill="1" applyBorder="1" applyAlignment="1">
      <alignment horizontal="center" vertical="center" textRotation="90" wrapText="1"/>
    </xf>
    <xf numFmtId="0" fontId="2" fillId="4" borderId="15" xfId="0" applyFont="1" applyFill="1" applyBorder="1" applyAlignment="1">
      <alignment horizontal="center" wrapText="1"/>
    </xf>
    <xf numFmtId="0" fontId="3" fillId="4" borderId="16" xfId="0" applyFont="1" applyFill="1" applyBorder="1" applyAlignment="1">
      <alignment horizontal="center" wrapText="1"/>
    </xf>
    <xf numFmtId="0" fontId="3" fillId="4" borderId="17" xfId="0" applyFont="1" applyFill="1" applyBorder="1" applyAlignment="1">
      <alignment horizontal="center" wrapText="1"/>
    </xf>
    <xf numFmtId="0" fontId="3" fillId="4" borderId="1" xfId="0" applyFont="1" applyFill="1" applyBorder="1" applyAlignment="1">
      <alignment horizontal="center" wrapText="1"/>
    </xf>
    <xf numFmtId="0" fontId="11" fillId="6" borderId="15" xfId="0" applyFont="1" applyFill="1" applyBorder="1" applyAlignment="1">
      <alignment horizontal="center" vertical="center" wrapText="1"/>
    </xf>
    <xf numFmtId="0" fontId="11" fillId="6" borderId="16" xfId="0" applyFont="1" applyFill="1" applyBorder="1" applyAlignment="1">
      <alignment horizontal="center" vertical="center" wrapText="1"/>
    </xf>
    <xf numFmtId="0" fontId="11" fillId="6" borderId="17" xfId="0" applyFont="1" applyFill="1" applyBorder="1" applyAlignment="1">
      <alignment horizontal="center" vertical="center" wrapText="1"/>
    </xf>
    <xf numFmtId="0" fontId="11" fillId="13" borderId="9" xfId="0" applyFont="1" applyFill="1" applyBorder="1" applyAlignment="1">
      <alignment horizontal="center" vertical="center" wrapText="1"/>
    </xf>
    <xf numFmtId="0" fontId="11" fillId="13" borderId="25" xfId="0" applyFont="1" applyFill="1" applyBorder="1" applyAlignment="1">
      <alignment horizontal="center" vertical="center" wrapText="1"/>
    </xf>
    <xf numFmtId="0" fontId="11" fillId="13" borderId="10" xfId="0" applyFont="1" applyFill="1" applyBorder="1" applyAlignment="1">
      <alignment horizontal="center" vertical="center" wrapText="1"/>
    </xf>
    <xf numFmtId="0" fontId="10" fillId="7" borderId="11" xfId="0" applyFont="1" applyFill="1" applyBorder="1" applyAlignment="1">
      <alignment vertical="center" wrapText="1"/>
    </xf>
    <xf numFmtId="164" fontId="10" fillId="7" borderId="1" xfId="0" applyNumberFormat="1" applyFont="1" applyFill="1" applyBorder="1" applyAlignment="1">
      <alignment vertical="center" wrapText="1"/>
    </xf>
    <xf numFmtId="164" fontId="10" fillId="7" borderId="12" xfId="0" applyNumberFormat="1" applyFont="1" applyFill="1" applyBorder="1" applyAlignment="1">
      <alignment vertical="center" wrapText="1"/>
    </xf>
    <xf numFmtId="0" fontId="10" fillId="7" borderId="13" xfId="0" applyFont="1" applyFill="1" applyBorder="1" applyAlignment="1">
      <alignment vertical="center" wrapText="1"/>
    </xf>
    <xf numFmtId="164" fontId="10" fillId="7" borderId="26" xfId="0" applyNumberFormat="1" applyFont="1" applyFill="1" applyBorder="1" applyAlignment="1">
      <alignment vertical="center" wrapText="1"/>
    </xf>
    <xf numFmtId="164" fontId="10" fillId="7" borderId="14" xfId="0" applyNumberFormat="1" applyFont="1" applyFill="1" applyBorder="1" applyAlignment="1">
      <alignment vertical="center" wrapText="1"/>
    </xf>
    <xf numFmtId="0" fontId="20" fillId="14" borderId="0" xfId="0" applyFont="1" applyFill="1" applyAlignment="1">
      <alignment horizontal="center" vertical="center" wrapText="1"/>
    </xf>
    <xf numFmtId="0" fontId="14" fillId="14" borderId="0" xfId="0" applyFont="1" applyFill="1" applyAlignment="1">
      <alignment horizontal="center" vertical="center" wrapText="1"/>
    </xf>
    <xf numFmtId="0" fontId="21" fillId="10" borderId="21" xfId="0" applyFont="1" applyFill="1" applyBorder="1" applyAlignment="1">
      <alignment horizontal="left"/>
    </xf>
    <xf numFmtId="0" fontId="21" fillId="10" borderId="22" xfId="0" applyFont="1" applyFill="1" applyBorder="1" applyAlignment="1">
      <alignment horizontal="left"/>
    </xf>
    <xf numFmtId="0" fontId="1" fillId="0" borderId="0" xfId="0" applyFont="1"/>
    <xf numFmtId="0" fontId="22" fillId="10" borderId="21" xfId="0" applyFont="1" applyFill="1" applyBorder="1" applyAlignment="1">
      <alignment horizontal="right"/>
    </xf>
    <xf numFmtId="0" fontId="22" fillId="10" borderId="22" xfId="0" applyFont="1" applyFill="1" applyBorder="1" applyAlignment="1">
      <alignment horizontal="right"/>
    </xf>
    <xf numFmtId="0" fontId="23" fillId="11" borderId="0" xfId="0" applyFont="1" applyFill="1" applyAlignment="1">
      <alignment horizontal="left"/>
    </xf>
    <xf numFmtId="0" fontId="1" fillId="0" borderId="0" xfId="0" applyFont="1" applyAlignment="1">
      <alignment vertical="top" wrapText="1"/>
    </xf>
    <xf numFmtId="0" fontId="24" fillId="11" borderId="23" xfId="0" applyFont="1" applyFill="1" applyBorder="1" applyAlignment="1">
      <alignment horizontal="left"/>
    </xf>
    <xf numFmtId="0" fontId="1" fillId="0" borderId="23" xfId="0" applyFont="1" applyBorder="1"/>
    <xf numFmtId="0" fontId="1" fillId="12" borderId="0" xfId="0" applyFont="1" applyFill="1"/>
    <xf numFmtId="0" fontId="23" fillId="11" borderId="19" xfId="0" applyFont="1" applyFill="1" applyBorder="1" applyAlignment="1">
      <alignment horizontal="left"/>
    </xf>
    <xf numFmtId="164" fontId="1" fillId="0" borderId="19" xfId="0" applyNumberFormat="1" applyFont="1" applyBorder="1"/>
  </cellXfs>
  <cellStyles count="3">
    <cellStyle name="Comma" xfId="2" builtinId="3"/>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Aptos" panose="020B0004020202020204" pitchFamily="34" charset="0"/>
                <a:ea typeface="+mn-ea"/>
                <a:cs typeface="+mn-cs"/>
              </a:defRPr>
            </a:pPr>
            <a:r>
              <a:rPr lang="en-US" sz="1600">
                <a:latin typeface="Aptos" panose="020B0004020202020204" pitchFamily="34" charset="0"/>
              </a:rPr>
              <a:t>Break Even Analysis</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lineChart>
        <c:grouping val="standard"/>
        <c:varyColors val="0"/>
        <c:ser>
          <c:idx val="1"/>
          <c:order val="0"/>
          <c:tx>
            <c:strRef>
              <c:f>'BEP - What If Analysis'!$E$14</c:f>
              <c:strCache>
                <c:ptCount val="1"/>
                <c:pt idx="0">
                  <c:v>Fixed Cost</c:v>
                </c:pt>
              </c:strCache>
            </c:strRef>
          </c:tx>
          <c:spPr>
            <a:ln w="25400" cap="rnd">
              <a:solidFill>
                <a:schemeClr val="accent5"/>
              </a:solidFill>
              <a:round/>
            </a:ln>
            <a:effectLst/>
          </c:spPr>
          <c:marker>
            <c:symbol val="none"/>
          </c:marker>
          <c:dLbls>
            <c:delete val="1"/>
          </c:dLbls>
          <c:cat>
            <c:numRef>
              <c:f>'BEP - What If Analysis'!$D$15:$D$26</c:f>
              <c:numCache>
                <c:formatCode>General</c:formatCode>
                <c:ptCount val="12"/>
                <c:pt idx="0">
                  <c:v>0</c:v>
                </c:pt>
                <c:pt idx="1">
                  <c:v>10</c:v>
                </c:pt>
                <c:pt idx="2">
                  <c:v>20</c:v>
                </c:pt>
                <c:pt idx="3">
                  <c:v>30</c:v>
                </c:pt>
                <c:pt idx="4">
                  <c:v>40</c:v>
                </c:pt>
                <c:pt idx="5">
                  <c:v>50</c:v>
                </c:pt>
                <c:pt idx="6">
                  <c:v>60</c:v>
                </c:pt>
                <c:pt idx="7">
                  <c:v>70</c:v>
                </c:pt>
                <c:pt idx="8">
                  <c:v>80</c:v>
                </c:pt>
                <c:pt idx="9">
                  <c:v>90</c:v>
                </c:pt>
                <c:pt idx="10">
                  <c:v>100</c:v>
                </c:pt>
                <c:pt idx="11">
                  <c:v>110</c:v>
                </c:pt>
              </c:numCache>
            </c:numRef>
          </c:cat>
          <c:val>
            <c:numRef>
              <c:f>'BEP - What If Analysis'!$E$15:$E$26</c:f>
              <c:numCache>
                <c:formatCode>"₹"\ #,##0.00</c:formatCode>
                <c:ptCount val="12"/>
                <c:pt idx="0">
                  <c:v>2500</c:v>
                </c:pt>
                <c:pt idx="1">
                  <c:v>2500</c:v>
                </c:pt>
                <c:pt idx="2">
                  <c:v>2500</c:v>
                </c:pt>
                <c:pt idx="3">
                  <c:v>2500</c:v>
                </c:pt>
                <c:pt idx="4">
                  <c:v>2500</c:v>
                </c:pt>
                <c:pt idx="5">
                  <c:v>2500</c:v>
                </c:pt>
                <c:pt idx="6">
                  <c:v>2500</c:v>
                </c:pt>
                <c:pt idx="7">
                  <c:v>2500</c:v>
                </c:pt>
                <c:pt idx="8">
                  <c:v>2500</c:v>
                </c:pt>
                <c:pt idx="9">
                  <c:v>2500</c:v>
                </c:pt>
                <c:pt idx="10">
                  <c:v>2500</c:v>
                </c:pt>
                <c:pt idx="11">
                  <c:v>2500</c:v>
                </c:pt>
              </c:numCache>
            </c:numRef>
          </c:val>
          <c:smooth val="0"/>
          <c:extLst>
            <c:ext xmlns:c16="http://schemas.microsoft.com/office/drawing/2014/chart" uri="{C3380CC4-5D6E-409C-BE32-E72D297353CC}">
              <c16:uniqueId val="{00000001-31A0-4CB3-9B11-45272976746B}"/>
            </c:ext>
          </c:extLst>
        </c:ser>
        <c:ser>
          <c:idx val="3"/>
          <c:order val="1"/>
          <c:tx>
            <c:strRef>
              <c:f>'BEP - What If Analysis'!$G$14</c:f>
              <c:strCache>
                <c:ptCount val="1"/>
                <c:pt idx="0">
                  <c:v>Total Cost</c:v>
                </c:pt>
              </c:strCache>
            </c:strRef>
          </c:tx>
          <c:spPr>
            <a:ln w="25400" cap="sq">
              <a:solidFill>
                <a:srgbClr val="C00000"/>
              </a:solidFill>
              <a:prstDash val="sysDash"/>
              <a:miter lim="800000"/>
            </a:ln>
            <a:effectLst/>
          </c:spPr>
          <c:marker>
            <c:symbol val="none"/>
          </c:marker>
          <c:dLbls>
            <c:dLbl>
              <c:idx val="2"/>
              <c:layout>
                <c:manualLayout>
                  <c:x val="-7.1391006987956959E-2"/>
                  <c:y val="-0.10637328306318428"/>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457-4F6B-A067-0CD8ABBC89C8}"/>
                </c:ext>
              </c:extLst>
            </c:dLbl>
            <c:dLbl>
              <c:idx val="3"/>
              <c:layout>
                <c:manualLayout>
                  <c:x val="-9.0178931749847115E-4"/>
                  <c:y val="9.195688949295692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88E-427E-867F-D5BA27C7F965}"/>
                </c:ext>
              </c:extLst>
            </c:dLbl>
            <c:dLbl>
              <c:idx val="5"/>
              <c:layout>
                <c:manualLayout>
                  <c:x val="-8.6088716406679065E-3"/>
                  <c:y val="0.12074962374848905"/>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88E-427E-867F-D5BA27C7F965}"/>
                </c:ext>
              </c:extLst>
            </c:dLbl>
            <c:dLbl>
              <c:idx val="6"/>
              <c:layout>
                <c:manualLayout>
                  <c:x val="2.6843707045911644E-2"/>
                  <c:y val="0.14954235800402108"/>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88E-427E-867F-D5BA27C7F965}"/>
                </c:ext>
              </c:extLst>
            </c:dLbl>
            <c:dLbl>
              <c:idx val="7"/>
              <c:layout>
                <c:manualLayout>
                  <c:x val="-1.7857370428471409E-2"/>
                  <c:y val="-6.160435986988102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88E-427E-867F-D5BA27C7F965}"/>
                </c:ext>
              </c:extLst>
            </c:dLbl>
            <c:dLbl>
              <c:idx val="8"/>
              <c:layout>
                <c:manualLayout>
                  <c:x val="-3.9437200933345989E-2"/>
                  <c:y val="9.195688949295692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88E-427E-867F-D5BA27C7F965}"/>
                </c:ext>
              </c:extLst>
            </c:dLbl>
            <c:dLbl>
              <c:idx val="9"/>
              <c:layout>
                <c:manualLayout>
                  <c:x val="-5.6392782044318759E-2"/>
                  <c:y val="-6.400375439117544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88E-427E-867F-D5BA27C7F965}"/>
                </c:ext>
              </c:extLst>
            </c:dLbl>
            <c:dLbl>
              <c:idx val="11"/>
              <c:layout>
                <c:manualLayout>
                  <c:x val="-6.1656658585358196E-3"/>
                  <c:y val="-7.600072699764708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88E-427E-867F-D5BA27C7F965}"/>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ptos" panose="020B0004020202020204" pitchFamily="34" charset="0"/>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'BEP - What If Analysis'!$D$15:$D$26</c:f>
              <c:numCache>
                <c:formatCode>General</c:formatCode>
                <c:ptCount val="12"/>
                <c:pt idx="0">
                  <c:v>0</c:v>
                </c:pt>
                <c:pt idx="1">
                  <c:v>10</c:v>
                </c:pt>
                <c:pt idx="2">
                  <c:v>20</c:v>
                </c:pt>
                <c:pt idx="3">
                  <c:v>30</c:v>
                </c:pt>
                <c:pt idx="4">
                  <c:v>40</c:v>
                </c:pt>
                <c:pt idx="5">
                  <c:v>50</c:v>
                </c:pt>
                <c:pt idx="6">
                  <c:v>60</c:v>
                </c:pt>
                <c:pt idx="7">
                  <c:v>70</c:v>
                </c:pt>
                <c:pt idx="8">
                  <c:v>80</c:v>
                </c:pt>
                <c:pt idx="9">
                  <c:v>90</c:v>
                </c:pt>
                <c:pt idx="10">
                  <c:v>100</c:v>
                </c:pt>
                <c:pt idx="11">
                  <c:v>110</c:v>
                </c:pt>
              </c:numCache>
            </c:numRef>
          </c:cat>
          <c:val>
            <c:numRef>
              <c:f>'BEP - What If Analysis'!$G$15:$G$26</c:f>
              <c:numCache>
                <c:formatCode>"₹"\ #,##0.00</c:formatCode>
                <c:ptCount val="12"/>
                <c:pt idx="0">
                  <c:v>2500</c:v>
                </c:pt>
                <c:pt idx="1">
                  <c:v>2800</c:v>
                </c:pt>
                <c:pt idx="2">
                  <c:v>3100</c:v>
                </c:pt>
                <c:pt idx="3">
                  <c:v>3400</c:v>
                </c:pt>
                <c:pt idx="4">
                  <c:v>3700</c:v>
                </c:pt>
                <c:pt idx="5">
                  <c:v>4000</c:v>
                </c:pt>
                <c:pt idx="6">
                  <c:v>4300</c:v>
                </c:pt>
                <c:pt idx="7">
                  <c:v>4600</c:v>
                </c:pt>
                <c:pt idx="8">
                  <c:v>4900</c:v>
                </c:pt>
                <c:pt idx="9">
                  <c:v>5200</c:v>
                </c:pt>
                <c:pt idx="10">
                  <c:v>5500</c:v>
                </c:pt>
                <c:pt idx="11">
                  <c:v>5800</c:v>
                </c:pt>
              </c:numCache>
            </c:numRef>
          </c:val>
          <c:smooth val="0"/>
          <c:extLst>
            <c:ext xmlns:c16="http://schemas.microsoft.com/office/drawing/2014/chart" uri="{C3380CC4-5D6E-409C-BE32-E72D297353CC}">
              <c16:uniqueId val="{00000003-31A0-4CB3-9B11-45272976746B}"/>
            </c:ext>
          </c:extLst>
        </c:ser>
        <c:ser>
          <c:idx val="4"/>
          <c:order val="2"/>
          <c:tx>
            <c:strRef>
              <c:f>'BEP - What If Analysis'!$H$14</c:f>
              <c:strCache>
                <c:ptCount val="1"/>
                <c:pt idx="0">
                  <c:v>Revenue</c:v>
                </c:pt>
              </c:strCache>
            </c:strRef>
          </c:tx>
          <c:spPr>
            <a:ln w="25400" cap="rnd">
              <a:solidFill>
                <a:schemeClr val="accent4"/>
              </a:solidFill>
              <a:round/>
            </a:ln>
            <a:effectLst/>
          </c:spPr>
          <c:marker>
            <c:symbol val="none"/>
          </c:marker>
          <c:dLbls>
            <c:dLbl>
              <c:idx val="3"/>
              <c:layout>
                <c:manualLayout>
                  <c:x val="-3.6579633276389932E-2"/>
                  <c:y val="-0.11829090561462105"/>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457-4F6B-A067-0CD8ABBC89C8}"/>
                </c:ext>
              </c:extLst>
            </c:dLbl>
            <c:dLbl>
              <c:idx val="11"/>
              <c:layout>
                <c:manualLayout>
                  <c:x val="-4.831698568140784E-2"/>
                  <c:y val="-1.735779734760073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457-4F6B-A067-0CD8ABBC89C8}"/>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ptos" panose="020B0004020202020204" pitchFamily="34" charset="0"/>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'BEP - What If Analysis'!$D$15:$D$26</c:f>
              <c:numCache>
                <c:formatCode>General</c:formatCode>
                <c:ptCount val="12"/>
                <c:pt idx="0">
                  <c:v>0</c:v>
                </c:pt>
                <c:pt idx="1">
                  <c:v>10</c:v>
                </c:pt>
                <c:pt idx="2">
                  <c:v>20</c:v>
                </c:pt>
                <c:pt idx="3">
                  <c:v>30</c:v>
                </c:pt>
                <c:pt idx="4">
                  <c:v>40</c:v>
                </c:pt>
                <c:pt idx="5">
                  <c:v>50</c:v>
                </c:pt>
                <c:pt idx="6">
                  <c:v>60</c:v>
                </c:pt>
                <c:pt idx="7">
                  <c:v>70</c:v>
                </c:pt>
                <c:pt idx="8">
                  <c:v>80</c:v>
                </c:pt>
                <c:pt idx="9">
                  <c:v>90</c:v>
                </c:pt>
                <c:pt idx="10">
                  <c:v>100</c:v>
                </c:pt>
                <c:pt idx="11">
                  <c:v>110</c:v>
                </c:pt>
              </c:numCache>
            </c:numRef>
          </c:cat>
          <c:val>
            <c:numRef>
              <c:f>'BEP - What If Analysis'!$H$15:$H$26</c:f>
              <c:numCache>
                <c:formatCode>"₹"\ #,##0.00</c:formatCode>
                <c:ptCount val="12"/>
                <c:pt idx="0">
                  <c:v>0</c:v>
                </c:pt>
                <c:pt idx="1">
                  <c:v>1200</c:v>
                </c:pt>
                <c:pt idx="2">
                  <c:v>2400</c:v>
                </c:pt>
                <c:pt idx="3">
                  <c:v>3600</c:v>
                </c:pt>
                <c:pt idx="4">
                  <c:v>4800</c:v>
                </c:pt>
                <c:pt idx="5">
                  <c:v>6000</c:v>
                </c:pt>
                <c:pt idx="6">
                  <c:v>7200</c:v>
                </c:pt>
                <c:pt idx="7">
                  <c:v>8400</c:v>
                </c:pt>
                <c:pt idx="8">
                  <c:v>9600</c:v>
                </c:pt>
                <c:pt idx="9">
                  <c:v>10800</c:v>
                </c:pt>
                <c:pt idx="10">
                  <c:v>12000</c:v>
                </c:pt>
                <c:pt idx="11">
                  <c:v>13200</c:v>
                </c:pt>
              </c:numCache>
            </c:numRef>
          </c:val>
          <c:smooth val="0"/>
          <c:extLst>
            <c:ext xmlns:c16="http://schemas.microsoft.com/office/drawing/2014/chart" uri="{C3380CC4-5D6E-409C-BE32-E72D297353CC}">
              <c16:uniqueId val="{00000004-31A0-4CB3-9B11-45272976746B}"/>
            </c:ext>
          </c:extLst>
        </c:ser>
        <c:dLbls>
          <c:dLblPos val="b"/>
          <c:showLegendKey val="0"/>
          <c:showVal val="1"/>
          <c:showCatName val="0"/>
          <c:showSerName val="0"/>
          <c:showPercent val="0"/>
          <c:showBubbleSize val="0"/>
        </c:dLbls>
        <c:smooth val="0"/>
        <c:axId val="1417454607"/>
        <c:axId val="1417455087"/>
      </c:lineChart>
      <c:catAx>
        <c:axId val="1417454607"/>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ptos" panose="020B0004020202020204" pitchFamily="34" charset="0"/>
                    <a:ea typeface="+mn-ea"/>
                    <a:cs typeface="+mn-cs"/>
                  </a:defRPr>
                </a:pPr>
                <a:r>
                  <a:rPr lang="en-US" sz="1200">
                    <a:latin typeface="Aptos" panose="020B0004020202020204" pitchFamily="34" charset="0"/>
                  </a:rPr>
                  <a:t>Quantity (Units)</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title>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417455087"/>
        <c:crossesAt val="0"/>
        <c:auto val="1"/>
        <c:lblAlgn val="ctr"/>
        <c:lblOffset val="100"/>
        <c:noMultiLvlLbl val="0"/>
      </c:catAx>
      <c:valAx>
        <c:axId val="1417455087"/>
        <c:scaling>
          <c:orientation val="minMax"/>
          <c:max val="12000"/>
        </c:scaling>
        <c:delete val="0"/>
        <c:axPos val="l"/>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ptos" panose="020B0004020202020204" pitchFamily="34" charset="0"/>
                    <a:ea typeface="+mn-ea"/>
                    <a:cs typeface="+mn-cs"/>
                  </a:defRPr>
                </a:pPr>
                <a:r>
                  <a:rPr lang="en-US" sz="1200">
                    <a:latin typeface="Aptos" panose="020B0004020202020204" pitchFamily="34" charset="0"/>
                  </a:rPr>
                  <a:t>Revenue / Cost (Rs.)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title>
        <c:numFmt formatCode="&quot;₹&quot;\ #,##0.0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417454607"/>
        <c:crossesAt val="0"/>
        <c:crossBetween val="midCat"/>
      </c:valAx>
      <c:spPr>
        <a:solidFill>
          <a:schemeClr val="accent4">
            <a:lumMod val="40000"/>
            <a:lumOff val="60000"/>
            <a:alpha val="36000"/>
          </a:schemeClr>
        </a:solidFill>
        <a:ln w="28575" cap="rnd">
          <a:solidFill>
            <a:schemeClr val="tx1">
              <a:lumMod val="95000"/>
              <a:lumOff val="5000"/>
            </a:schemeClr>
          </a:solidFill>
        </a:ln>
        <a:effectLst/>
      </c:spPr>
    </c:plotArea>
    <c:legend>
      <c:legendPos val="b"/>
      <c:layout>
        <c:manualLayout>
          <c:xMode val="edge"/>
          <c:yMode val="edge"/>
          <c:x val="9.6749414453110999E-2"/>
          <c:y val="0.92816952874759739"/>
          <c:w val="0.85743881114855725"/>
          <c:h val="5.0461302662914084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6" fmlaLink="$D$2" inc="100" max="30000" min="2000" page="10" val="2500"/>
</file>

<file path=xl/ctrlProps/ctrlProp2.xml><?xml version="1.0" encoding="utf-8"?>
<formControlPr xmlns="http://schemas.microsoft.com/office/spreadsheetml/2009/9/main" objectType="Spin" dx="26" fmlaLink="$D$3" inc="2" max="100" min="10" page="10" val="30"/>
</file>

<file path=xl/ctrlProps/ctrlProp3.xml><?xml version="1.0" encoding="utf-8"?>
<formControlPr xmlns="http://schemas.microsoft.com/office/spreadsheetml/2009/9/main" objectType="Spin" dx="26" fmlaLink="$D$4" inc="10" max="200" min="50" page="10" val="120"/>
</file>

<file path=xl/ctrlProps/ctrlProp4.xml><?xml version="1.0" encoding="utf-8"?>
<formControlPr xmlns="http://schemas.microsoft.com/office/spreadsheetml/2009/9/main" objectType="Spin" dx="26" fmlaLink="$D$13" max="30000" min="10" page="10" val="12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1</xdr:row>
          <xdr:rowOff>0</xdr:rowOff>
        </xdr:from>
        <xdr:to>
          <xdr:col>4</xdr:col>
          <xdr:colOff>632460</xdr:colOff>
          <xdr:row>1</xdr:row>
          <xdr:rowOff>655320</xdr:rowOff>
        </xdr:to>
        <xdr:sp macro="" textlink="">
          <xdr:nvSpPr>
            <xdr:cNvPr id="1025" name="Spinner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76200</xdr:rowOff>
        </xdr:from>
        <xdr:to>
          <xdr:col>4</xdr:col>
          <xdr:colOff>632460</xdr:colOff>
          <xdr:row>3</xdr:row>
          <xdr:rowOff>7620</xdr:rowOff>
        </xdr:to>
        <xdr:sp macro="" textlink="">
          <xdr:nvSpPr>
            <xdr:cNvPr id="1030" name="Spinne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xdr:colOff>
          <xdr:row>3</xdr:row>
          <xdr:rowOff>137160</xdr:rowOff>
        </xdr:from>
        <xdr:to>
          <xdr:col>4</xdr:col>
          <xdr:colOff>632460</xdr:colOff>
          <xdr:row>3</xdr:row>
          <xdr:rowOff>655320</xdr:rowOff>
        </xdr:to>
        <xdr:sp macro="" textlink="">
          <xdr:nvSpPr>
            <xdr:cNvPr id="1031" name="Spinne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5</xdr:col>
      <xdr:colOff>268608</xdr:colOff>
      <xdr:row>0</xdr:row>
      <xdr:rowOff>0</xdr:rowOff>
    </xdr:from>
    <xdr:to>
      <xdr:col>14</xdr:col>
      <xdr:colOff>207818</xdr:colOff>
      <xdr:row>11</xdr:row>
      <xdr:rowOff>128648</xdr:rowOff>
    </xdr:to>
    <xdr:graphicFrame macro="">
      <xdr:nvGraphicFramePr>
        <xdr:cNvPr id="3" name="Chart 2">
          <a:extLst>
            <a:ext uri="{FF2B5EF4-FFF2-40B4-BE49-F238E27FC236}">
              <a16:creationId xmlns:a16="http://schemas.microsoft.com/office/drawing/2014/main" id="{A0AB4BE1-BF3A-D28F-9055-FB94721C52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15240</xdr:colOff>
          <xdr:row>12</xdr:row>
          <xdr:rowOff>7620</xdr:rowOff>
        </xdr:from>
        <xdr:to>
          <xdr:col>4</xdr:col>
          <xdr:colOff>403860</xdr:colOff>
          <xdr:row>13</xdr:row>
          <xdr:rowOff>0</xdr:rowOff>
        </xdr:to>
        <xdr:sp macro="" textlink="">
          <xdr:nvSpPr>
            <xdr:cNvPr id="2049" name="Spinner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4</xdr:col>
          <xdr:colOff>496957</xdr:colOff>
          <xdr:row>13</xdr:row>
          <xdr:rowOff>15660</xdr:rowOff>
        </xdr:to>
        <xdr:pic>
          <xdr:nvPicPr>
            <xdr:cNvPr id="3" name="Picture 2">
              <a:extLst>
                <a:ext uri="{FF2B5EF4-FFF2-40B4-BE49-F238E27FC236}">
                  <a16:creationId xmlns:a16="http://schemas.microsoft.com/office/drawing/2014/main" id="{A0B846B0-671D-9B52-9390-30FF675BD5C7}"/>
                </a:ext>
              </a:extLst>
            </xdr:cNvPr>
            <xdr:cNvPicPr>
              <a:picLocks noChangeAspect="1" noChangeArrowheads="1"/>
              <a:extLst>
                <a:ext uri="{84589F7E-364E-4C9E-8A38-B11213B215E9}">
                  <a14:cameraTool cellRange="'Sensitivity Analysis'!$B$6:$D$18" spid="_x0000_s4399"/>
                </a:ext>
              </a:extLst>
            </xdr:cNvPicPr>
          </xdr:nvPicPr>
          <xdr:blipFill>
            <a:blip xmlns:r="http://schemas.openxmlformats.org/officeDocument/2006/relationships" r:embed="rId1"/>
            <a:srcRect/>
            <a:stretch>
              <a:fillRect/>
            </a:stretch>
          </xdr:blipFill>
          <xdr:spPr bwMode="auto">
            <a:xfrm>
              <a:off x="0" y="0"/>
              <a:ext cx="2935357" cy="262128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I26"/>
  <sheetViews>
    <sheetView showGridLines="0" tabSelected="1" zoomScale="45" zoomScaleNormal="55" workbookViewId="0">
      <selection activeCell="R9" sqref="R9"/>
    </sheetView>
  </sheetViews>
  <sheetFormatPr defaultColWidth="13" defaultRowHeight="21" x14ac:dyDescent="0.3"/>
  <cols>
    <col min="1" max="2" width="13" style="36"/>
    <col min="3" max="3" width="19" style="36" customWidth="1"/>
    <col min="4" max="4" width="15.33203125" style="36" bestFit="1" customWidth="1"/>
    <col min="5" max="6" width="15.5546875" style="36" customWidth="1"/>
    <col min="7" max="7" width="15.5546875" style="36" bestFit="1" customWidth="1"/>
    <col min="8" max="8" width="17.21875" style="36" bestFit="1" customWidth="1"/>
    <col min="9" max="9" width="16.5546875" style="36" bestFit="1" customWidth="1"/>
    <col min="10" max="10" width="15.44140625" style="36" customWidth="1"/>
    <col min="11" max="11" width="15.33203125" style="36" customWidth="1"/>
    <col min="12" max="16384" width="13" style="36"/>
  </cols>
  <sheetData>
    <row r="1" spans="1:9" ht="29.4" thickBot="1" x14ac:dyDescent="0.35">
      <c r="A1"/>
      <c r="B1" s="52" t="s">
        <v>46</v>
      </c>
      <c r="C1" s="53"/>
      <c r="D1" s="54"/>
      <c r="F1"/>
      <c r="G1"/>
      <c r="H1"/>
    </row>
    <row r="2" spans="1:9" ht="49.2" customHeight="1" x14ac:dyDescent="0.3">
      <c r="A2"/>
      <c r="B2" s="49" t="s">
        <v>40</v>
      </c>
      <c r="C2" s="37" t="s">
        <v>48</v>
      </c>
      <c r="D2" s="38">
        <v>2500</v>
      </c>
      <c r="F2"/>
      <c r="G2"/>
      <c r="H2"/>
      <c r="I2"/>
    </row>
    <row r="3" spans="1:9" ht="48" customHeight="1" x14ac:dyDescent="0.3">
      <c r="A3"/>
      <c r="B3" s="50"/>
      <c r="C3" s="39" t="s">
        <v>49</v>
      </c>
      <c r="D3" s="40">
        <v>30</v>
      </c>
      <c r="F3"/>
      <c r="G3"/>
    </row>
    <row r="4" spans="1:9" ht="52.2" customHeight="1" thickBot="1" x14ac:dyDescent="0.35">
      <c r="A4"/>
      <c r="B4" s="51"/>
      <c r="C4" s="39" t="s">
        <v>50</v>
      </c>
      <c r="D4" s="40">
        <v>120</v>
      </c>
      <c r="F4"/>
      <c r="G4"/>
    </row>
    <row r="5" spans="1:9" ht="52.2" customHeight="1" x14ac:dyDescent="0.3">
      <c r="A5"/>
      <c r="B5" s="49" t="s">
        <v>45</v>
      </c>
      <c r="C5" s="41" t="s">
        <v>53</v>
      </c>
      <c r="D5" s="42">
        <f>D4-D3</f>
        <v>90</v>
      </c>
      <c r="F5"/>
      <c r="G5"/>
    </row>
    <row r="6" spans="1:9" ht="52.2" customHeight="1" x14ac:dyDescent="0.3">
      <c r="A6"/>
      <c r="B6" s="50"/>
      <c r="C6" s="41" t="s">
        <v>47</v>
      </c>
      <c r="D6" s="43">
        <f>D5/D4</f>
        <v>0.75</v>
      </c>
      <c r="F6"/>
      <c r="G6"/>
    </row>
    <row r="7" spans="1:9" ht="42" x14ac:dyDescent="0.3">
      <c r="A7"/>
      <c r="B7" s="50"/>
      <c r="C7" s="41" t="s">
        <v>52</v>
      </c>
      <c r="D7" s="44">
        <f>D2/D5</f>
        <v>27.777777777777779</v>
      </c>
      <c r="F7"/>
      <c r="G7"/>
    </row>
    <row r="8" spans="1:9" ht="42.6" thickBot="1" x14ac:dyDescent="0.35">
      <c r="A8"/>
      <c r="B8" s="51"/>
      <c r="C8" s="45" t="s">
        <v>51</v>
      </c>
      <c r="D8" s="46">
        <f>D2/D6</f>
        <v>3333.3333333333335</v>
      </c>
      <c r="F8"/>
      <c r="G8"/>
    </row>
    <row r="9" spans="1:9" x14ac:dyDescent="0.3">
      <c r="E9"/>
      <c r="F9"/>
      <c r="G9"/>
    </row>
    <row r="10" spans="1:9" x14ac:dyDescent="0.3">
      <c r="E10"/>
      <c r="F10"/>
      <c r="G10"/>
    </row>
    <row r="11" spans="1:9" x14ac:dyDescent="0.3">
      <c r="E11"/>
      <c r="F11"/>
      <c r="G11"/>
      <c r="H11"/>
      <c r="I11"/>
    </row>
    <row r="12" spans="1:9" ht="21.6" thickBot="1" x14ac:dyDescent="0.35"/>
    <row r="13" spans="1:9" ht="21.6" customHeight="1" thickBot="1" x14ac:dyDescent="0.35">
      <c r="D13" s="71" t="s">
        <v>41</v>
      </c>
      <c r="E13" s="72"/>
      <c r="F13" s="72"/>
      <c r="G13" s="72"/>
      <c r="H13" s="72"/>
      <c r="I13" s="73"/>
    </row>
    <row r="14" spans="1:9" ht="42" x14ac:dyDescent="0.3">
      <c r="D14" s="74" t="s">
        <v>3</v>
      </c>
      <c r="E14" s="75" t="s">
        <v>1</v>
      </c>
      <c r="F14" s="75" t="s">
        <v>2</v>
      </c>
      <c r="G14" s="75" t="s">
        <v>4</v>
      </c>
      <c r="H14" s="75" t="s">
        <v>5</v>
      </c>
      <c r="I14" s="76" t="s">
        <v>15</v>
      </c>
    </row>
    <row r="15" spans="1:9" x14ac:dyDescent="0.3">
      <c r="D15" s="77">
        <v>0</v>
      </c>
      <c r="E15" s="78">
        <f>$D$2</f>
        <v>2500</v>
      </c>
      <c r="F15" s="78">
        <f t="shared" ref="F15:F26" si="0">$D$3*D15</f>
        <v>0</v>
      </c>
      <c r="G15" s="78">
        <f>E15+F15</f>
        <v>2500</v>
      </c>
      <c r="H15" s="78">
        <f t="shared" ref="H15:H26" si="1">$D$4*D15</f>
        <v>0</v>
      </c>
      <c r="I15" s="79">
        <f>H15-G15</f>
        <v>-2500</v>
      </c>
    </row>
    <row r="16" spans="1:9" x14ac:dyDescent="0.3">
      <c r="D16" s="77">
        <v>10</v>
      </c>
      <c r="E16" s="78">
        <f t="shared" ref="E16:E26" si="2">$D$2</f>
        <v>2500</v>
      </c>
      <c r="F16" s="78">
        <f t="shared" si="0"/>
        <v>300</v>
      </c>
      <c r="G16" s="78">
        <f t="shared" ref="G16:G26" si="3">E16+F16</f>
        <v>2800</v>
      </c>
      <c r="H16" s="78">
        <f t="shared" si="1"/>
        <v>1200</v>
      </c>
      <c r="I16" s="79">
        <f t="shared" ref="I16:I26" si="4">H16-G16</f>
        <v>-1600</v>
      </c>
    </row>
    <row r="17" spans="4:9" x14ac:dyDescent="0.3">
      <c r="D17" s="77">
        <v>20</v>
      </c>
      <c r="E17" s="78">
        <f t="shared" si="2"/>
        <v>2500</v>
      </c>
      <c r="F17" s="78">
        <f t="shared" si="0"/>
        <v>600</v>
      </c>
      <c r="G17" s="78">
        <f t="shared" si="3"/>
        <v>3100</v>
      </c>
      <c r="H17" s="78">
        <f t="shared" si="1"/>
        <v>2400</v>
      </c>
      <c r="I17" s="79">
        <f t="shared" si="4"/>
        <v>-700</v>
      </c>
    </row>
    <row r="18" spans="4:9" x14ac:dyDescent="0.3">
      <c r="D18" s="77">
        <v>30</v>
      </c>
      <c r="E18" s="78">
        <f t="shared" si="2"/>
        <v>2500</v>
      </c>
      <c r="F18" s="78">
        <f t="shared" si="0"/>
        <v>900</v>
      </c>
      <c r="G18" s="78">
        <f t="shared" si="3"/>
        <v>3400</v>
      </c>
      <c r="H18" s="78">
        <f t="shared" si="1"/>
        <v>3600</v>
      </c>
      <c r="I18" s="79">
        <f t="shared" si="4"/>
        <v>200</v>
      </c>
    </row>
    <row r="19" spans="4:9" x14ac:dyDescent="0.3">
      <c r="D19" s="77">
        <v>40</v>
      </c>
      <c r="E19" s="78">
        <f t="shared" si="2"/>
        <v>2500</v>
      </c>
      <c r="F19" s="78">
        <f t="shared" si="0"/>
        <v>1200</v>
      </c>
      <c r="G19" s="78">
        <f t="shared" si="3"/>
        <v>3700</v>
      </c>
      <c r="H19" s="78">
        <f t="shared" si="1"/>
        <v>4800</v>
      </c>
      <c r="I19" s="79">
        <f t="shared" si="4"/>
        <v>1100</v>
      </c>
    </row>
    <row r="20" spans="4:9" x14ac:dyDescent="0.3">
      <c r="D20" s="77">
        <v>50</v>
      </c>
      <c r="E20" s="78">
        <f t="shared" si="2"/>
        <v>2500</v>
      </c>
      <c r="F20" s="78">
        <f t="shared" si="0"/>
        <v>1500</v>
      </c>
      <c r="G20" s="78">
        <f t="shared" si="3"/>
        <v>4000</v>
      </c>
      <c r="H20" s="78">
        <f t="shared" si="1"/>
        <v>6000</v>
      </c>
      <c r="I20" s="79">
        <f t="shared" si="4"/>
        <v>2000</v>
      </c>
    </row>
    <row r="21" spans="4:9" x14ac:dyDescent="0.3">
      <c r="D21" s="77">
        <v>60</v>
      </c>
      <c r="E21" s="78">
        <f t="shared" si="2"/>
        <v>2500</v>
      </c>
      <c r="F21" s="78">
        <f t="shared" si="0"/>
        <v>1800</v>
      </c>
      <c r="G21" s="78">
        <f t="shared" si="3"/>
        <v>4300</v>
      </c>
      <c r="H21" s="78">
        <f t="shared" si="1"/>
        <v>7200</v>
      </c>
      <c r="I21" s="79">
        <f t="shared" si="4"/>
        <v>2900</v>
      </c>
    </row>
    <row r="22" spans="4:9" x14ac:dyDescent="0.3">
      <c r="D22" s="77">
        <v>70</v>
      </c>
      <c r="E22" s="78">
        <f t="shared" si="2"/>
        <v>2500</v>
      </c>
      <c r="F22" s="78">
        <f t="shared" si="0"/>
        <v>2100</v>
      </c>
      <c r="G22" s="78">
        <f t="shared" si="3"/>
        <v>4600</v>
      </c>
      <c r="H22" s="78">
        <f t="shared" si="1"/>
        <v>8400</v>
      </c>
      <c r="I22" s="79">
        <f t="shared" si="4"/>
        <v>3800</v>
      </c>
    </row>
    <row r="23" spans="4:9" x14ac:dyDescent="0.3">
      <c r="D23" s="77">
        <v>80</v>
      </c>
      <c r="E23" s="78">
        <f t="shared" si="2"/>
        <v>2500</v>
      </c>
      <c r="F23" s="78">
        <f t="shared" si="0"/>
        <v>2400</v>
      </c>
      <c r="G23" s="78">
        <f t="shared" si="3"/>
        <v>4900</v>
      </c>
      <c r="H23" s="78">
        <f t="shared" si="1"/>
        <v>9600</v>
      </c>
      <c r="I23" s="79">
        <f t="shared" si="4"/>
        <v>4700</v>
      </c>
    </row>
    <row r="24" spans="4:9" x14ac:dyDescent="0.3">
      <c r="D24" s="77">
        <v>90</v>
      </c>
      <c r="E24" s="78">
        <f t="shared" si="2"/>
        <v>2500</v>
      </c>
      <c r="F24" s="78">
        <f t="shared" si="0"/>
        <v>2700</v>
      </c>
      <c r="G24" s="78">
        <f t="shared" si="3"/>
        <v>5200</v>
      </c>
      <c r="H24" s="78">
        <f t="shared" si="1"/>
        <v>10800</v>
      </c>
      <c r="I24" s="79">
        <f t="shared" si="4"/>
        <v>5600</v>
      </c>
    </row>
    <row r="25" spans="4:9" x14ac:dyDescent="0.3">
      <c r="D25" s="77">
        <v>100</v>
      </c>
      <c r="E25" s="78">
        <f t="shared" si="2"/>
        <v>2500</v>
      </c>
      <c r="F25" s="78">
        <f t="shared" si="0"/>
        <v>3000</v>
      </c>
      <c r="G25" s="78">
        <f t="shared" si="3"/>
        <v>5500</v>
      </c>
      <c r="H25" s="78">
        <f t="shared" si="1"/>
        <v>12000</v>
      </c>
      <c r="I25" s="79">
        <f t="shared" si="4"/>
        <v>6500</v>
      </c>
    </row>
    <row r="26" spans="4:9" ht="21.6" thickBot="1" x14ac:dyDescent="0.35">
      <c r="D26" s="80">
        <v>110</v>
      </c>
      <c r="E26" s="81">
        <f t="shared" si="2"/>
        <v>2500</v>
      </c>
      <c r="F26" s="81">
        <f t="shared" si="0"/>
        <v>3300</v>
      </c>
      <c r="G26" s="81">
        <f t="shared" si="3"/>
        <v>5800</v>
      </c>
      <c r="H26" s="81">
        <f t="shared" si="1"/>
        <v>13200</v>
      </c>
      <c r="I26" s="82">
        <f t="shared" si="4"/>
        <v>7400</v>
      </c>
    </row>
  </sheetData>
  <mergeCells count="4">
    <mergeCell ref="B2:B4"/>
    <mergeCell ref="B5:B8"/>
    <mergeCell ref="D13:I13"/>
    <mergeCell ref="B1:D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pinner 1">
              <controlPr defaultSize="0" autoPict="0">
                <anchor moveWithCells="1" sizeWithCells="1">
                  <from>
                    <xdr:col>4</xdr:col>
                    <xdr:colOff>7620</xdr:colOff>
                    <xdr:row>1</xdr:row>
                    <xdr:rowOff>0</xdr:rowOff>
                  </from>
                  <to>
                    <xdr:col>4</xdr:col>
                    <xdr:colOff>632460</xdr:colOff>
                    <xdr:row>1</xdr:row>
                    <xdr:rowOff>655320</xdr:rowOff>
                  </to>
                </anchor>
              </controlPr>
            </control>
          </mc:Choice>
        </mc:AlternateContent>
        <mc:AlternateContent xmlns:mc="http://schemas.openxmlformats.org/markup-compatibility/2006">
          <mc:Choice Requires="x14">
            <control shapeId="1030" r:id="rId5" name="Spinner 6">
              <controlPr defaultSize="0" autoPict="0">
                <anchor moveWithCells="1" sizeWithCells="1">
                  <from>
                    <xdr:col>4</xdr:col>
                    <xdr:colOff>7620</xdr:colOff>
                    <xdr:row>2</xdr:row>
                    <xdr:rowOff>76200</xdr:rowOff>
                  </from>
                  <to>
                    <xdr:col>4</xdr:col>
                    <xdr:colOff>632460</xdr:colOff>
                    <xdr:row>3</xdr:row>
                    <xdr:rowOff>7620</xdr:rowOff>
                  </to>
                </anchor>
              </controlPr>
            </control>
          </mc:Choice>
        </mc:AlternateContent>
        <mc:AlternateContent xmlns:mc="http://schemas.openxmlformats.org/markup-compatibility/2006">
          <mc:Choice Requires="x14">
            <control shapeId="1031" r:id="rId6" name="Spinner 7">
              <controlPr defaultSize="0" autoPict="0">
                <anchor moveWithCells="1" sizeWithCells="1">
                  <from>
                    <xdr:col>4</xdr:col>
                    <xdr:colOff>7620</xdr:colOff>
                    <xdr:row>3</xdr:row>
                    <xdr:rowOff>137160</xdr:rowOff>
                  </from>
                  <to>
                    <xdr:col>4</xdr:col>
                    <xdr:colOff>632460</xdr:colOff>
                    <xdr:row>3</xdr:row>
                    <xdr:rowOff>655320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2FC22-570B-4283-B314-52BC42C1E106}">
  <sheetPr codeName="Sheet1"/>
  <dimension ref="B2:S36"/>
  <sheetViews>
    <sheetView topLeftCell="C1" zoomScaleNormal="100" workbookViewId="0">
      <selection activeCell="D3" sqref="D3"/>
    </sheetView>
  </sheetViews>
  <sheetFormatPr defaultColWidth="12.6640625" defaultRowHeight="14.4" x14ac:dyDescent="0.3"/>
  <cols>
    <col min="1" max="2" width="12.6640625" style="1"/>
    <col min="3" max="3" width="15.33203125" style="1" bestFit="1" customWidth="1"/>
    <col min="4" max="4" width="14.5546875" style="1" bestFit="1" customWidth="1"/>
    <col min="5" max="5" width="7.5546875" style="1" customWidth="1"/>
    <col min="6" max="7" width="12.6640625" style="1"/>
    <col min="8" max="8" width="13.88671875" style="1" bestFit="1" customWidth="1"/>
    <col min="9" max="9" width="13.77734375" style="1" customWidth="1"/>
    <col min="10" max="11" width="12.6640625" style="1"/>
    <col min="12" max="15" width="13.21875" style="1" bestFit="1" customWidth="1"/>
    <col min="16" max="16384" width="12.6640625" style="1"/>
  </cols>
  <sheetData>
    <row r="2" spans="2:19" ht="18" x14ac:dyDescent="0.3">
      <c r="C2" s="83" t="s">
        <v>56</v>
      </c>
    </row>
    <row r="3" spans="2:19" ht="15" thickBot="1" x14ac:dyDescent="0.35"/>
    <row r="4" spans="2:19" ht="15" customHeight="1" thickBot="1" x14ac:dyDescent="0.35">
      <c r="F4" s="61" t="s">
        <v>42</v>
      </c>
      <c r="G4" s="62"/>
      <c r="H4" s="62"/>
      <c r="I4" s="63"/>
      <c r="L4" s="61" t="s">
        <v>43</v>
      </c>
      <c r="M4" s="62"/>
      <c r="N4" s="62"/>
      <c r="O4" s="62"/>
      <c r="P4" s="62"/>
      <c r="Q4" s="62"/>
      <c r="R4" s="62"/>
      <c r="S4" s="63"/>
    </row>
    <row r="5" spans="2:19" ht="15" thickBot="1" x14ac:dyDescent="0.35">
      <c r="C5" s="61" t="s">
        <v>44</v>
      </c>
      <c r="D5" s="63"/>
      <c r="H5" s="48" t="s">
        <v>18</v>
      </c>
      <c r="I5" s="48" t="s">
        <v>13</v>
      </c>
      <c r="K5" s="47">
        <f>D16</f>
        <v>10800</v>
      </c>
      <c r="L5" s="22">
        <f>'BEP - What If Analysis'!$D$2</f>
        <v>2500</v>
      </c>
      <c r="M5" s="23">
        <f>L5+200</f>
        <v>2700</v>
      </c>
      <c r="N5" s="23">
        <f t="shared" ref="N5:S5" si="0">M5+200</f>
        <v>2900</v>
      </c>
      <c r="O5" s="23">
        <f t="shared" si="0"/>
        <v>3100</v>
      </c>
      <c r="P5" s="23">
        <f t="shared" si="0"/>
        <v>3300</v>
      </c>
      <c r="Q5" s="23">
        <f t="shared" si="0"/>
        <v>3500</v>
      </c>
      <c r="R5" s="23">
        <f t="shared" si="0"/>
        <v>3700</v>
      </c>
      <c r="S5" s="24">
        <f t="shared" si="0"/>
        <v>3900</v>
      </c>
    </row>
    <row r="6" spans="2:19" ht="16.2" thickBot="1" x14ac:dyDescent="0.35">
      <c r="C6" s="2" t="s">
        <v>0</v>
      </c>
      <c r="D6" s="14">
        <f>'BEP - What If Analysis'!$D$2</f>
        <v>2500</v>
      </c>
      <c r="F6" s="58" t="s">
        <v>2</v>
      </c>
      <c r="G6" s="10"/>
      <c r="H6" s="21">
        <f>$D$18</f>
        <v>8300</v>
      </c>
      <c r="I6" s="21">
        <f>D16</f>
        <v>10800</v>
      </c>
      <c r="K6" s="20">
        <f>'BEP - What If Analysis'!$D$4</f>
        <v>120</v>
      </c>
      <c r="L6" s="25">
        <f t="dataTable" ref="L6:S17" dt2D="1" dtr="1" r1="D6" r2="D8"/>
        <v>10800</v>
      </c>
      <c r="M6" s="26">
        <v>10800</v>
      </c>
      <c r="N6" s="26">
        <v>10800</v>
      </c>
      <c r="O6" s="26">
        <v>10800</v>
      </c>
      <c r="P6" s="26">
        <v>10800</v>
      </c>
      <c r="Q6" s="26">
        <v>10800</v>
      </c>
      <c r="R6" s="26">
        <v>10800</v>
      </c>
      <c r="S6" s="27">
        <v>10800</v>
      </c>
    </row>
    <row r="7" spans="2:19" ht="16.2" thickBot="1" x14ac:dyDescent="0.35">
      <c r="C7" s="3" t="s">
        <v>6</v>
      </c>
      <c r="D7" s="14">
        <f>'BEP - What If Analysis'!$D$3</f>
        <v>30</v>
      </c>
      <c r="F7" s="59"/>
      <c r="G7" s="15">
        <f>'BEP - What If Analysis'!D18</f>
        <v>30</v>
      </c>
      <c r="H7" s="17">
        <f t="dataTable" ref="H7:I18" dt2D="0" dtr="0" r1="D7" ca="1"/>
        <v>8300</v>
      </c>
      <c r="I7" s="17">
        <v>10800</v>
      </c>
      <c r="K7" s="15">
        <f>K6+1</f>
        <v>121</v>
      </c>
      <c r="L7" s="25">
        <v>10920</v>
      </c>
      <c r="M7" s="26">
        <v>10920</v>
      </c>
      <c r="N7" s="26">
        <v>10920</v>
      </c>
      <c r="O7" s="26">
        <v>10920</v>
      </c>
      <c r="P7" s="26">
        <v>10920</v>
      </c>
      <c r="Q7" s="26">
        <v>10920</v>
      </c>
      <c r="R7" s="26">
        <v>10920</v>
      </c>
      <c r="S7" s="27">
        <v>10920</v>
      </c>
    </row>
    <row r="8" spans="2:19" ht="15.6" x14ac:dyDescent="0.3">
      <c r="C8" s="3" t="s">
        <v>7</v>
      </c>
      <c r="D8" s="14">
        <f>'BEP - What If Analysis'!$D$4</f>
        <v>120</v>
      </c>
      <c r="F8" s="59"/>
      <c r="G8" s="15">
        <f>G7+1</f>
        <v>31</v>
      </c>
      <c r="H8" s="18">
        <v>8180</v>
      </c>
      <c r="I8" s="18">
        <v>10680</v>
      </c>
      <c r="K8" s="15">
        <f t="shared" ref="K8:K17" si="1">K7+1</f>
        <v>122</v>
      </c>
      <c r="L8" s="25">
        <v>11040</v>
      </c>
      <c r="M8" s="26">
        <v>11040</v>
      </c>
      <c r="N8" s="26">
        <v>11040</v>
      </c>
      <c r="O8" s="26">
        <v>11040</v>
      </c>
      <c r="P8" s="26">
        <v>11040</v>
      </c>
      <c r="Q8" s="26">
        <v>11040</v>
      </c>
      <c r="R8" s="26">
        <v>11040</v>
      </c>
      <c r="S8" s="27">
        <v>11040</v>
      </c>
    </row>
    <row r="9" spans="2:19" ht="15.6" x14ac:dyDescent="0.3">
      <c r="C9" s="4" t="s">
        <v>17</v>
      </c>
      <c r="D9" s="13">
        <f>D8-D7</f>
        <v>90</v>
      </c>
      <c r="F9" s="59"/>
      <c r="G9" s="15">
        <f t="shared" ref="G9:G18" si="2">G8+1</f>
        <v>32</v>
      </c>
      <c r="H9" s="18">
        <v>8060</v>
      </c>
      <c r="I9" s="18">
        <v>10560</v>
      </c>
      <c r="K9" s="15">
        <f t="shared" si="1"/>
        <v>123</v>
      </c>
      <c r="L9" s="25">
        <v>11160</v>
      </c>
      <c r="M9" s="26">
        <v>11160</v>
      </c>
      <c r="N9" s="26">
        <v>11160</v>
      </c>
      <c r="O9" s="26">
        <v>11160</v>
      </c>
      <c r="P9" s="26">
        <v>11160</v>
      </c>
      <c r="Q9" s="26">
        <v>11160</v>
      </c>
      <c r="R9" s="26">
        <v>11160</v>
      </c>
      <c r="S9" s="27">
        <v>11160</v>
      </c>
    </row>
    <row r="10" spans="2:19" ht="15.6" x14ac:dyDescent="0.3">
      <c r="C10" s="4" t="s">
        <v>8</v>
      </c>
      <c r="D10" s="7">
        <f>D9/D8</f>
        <v>0.75</v>
      </c>
      <c r="F10" s="59"/>
      <c r="G10" s="15">
        <f t="shared" si="2"/>
        <v>33</v>
      </c>
      <c r="H10" s="18">
        <v>7940</v>
      </c>
      <c r="I10" s="18">
        <v>10440</v>
      </c>
      <c r="K10" s="15">
        <f t="shared" si="1"/>
        <v>124</v>
      </c>
      <c r="L10" s="25">
        <v>11280</v>
      </c>
      <c r="M10" s="26">
        <v>11280</v>
      </c>
      <c r="N10" s="26">
        <v>11280</v>
      </c>
      <c r="O10" s="26">
        <v>11280</v>
      </c>
      <c r="P10" s="26">
        <v>11280</v>
      </c>
      <c r="Q10" s="26">
        <v>11280</v>
      </c>
      <c r="R10" s="26">
        <v>11280</v>
      </c>
      <c r="S10" s="27">
        <v>11280</v>
      </c>
    </row>
    <row r="11" spans="2:19" ht="15.6" x14ac:dyDescent="0.3">
      <c r="C11" s="4" t="s">
        <v>9</v>
      </c>
      <c r="D11" s="8">
        <f>D6/D9</f>
        <v>27.777777777777779</v>
      </c>
      <c r="F11" s="59"/>
      <c r="G11" s="15">
        <f t="shared" si="2"/>
        <v>34</v>
      </c>
      <c r="H11" s="18">
        <v>7820</v>
      </c>
      <c r="I11" s="18">
        <v>10320</v>
      </c>
      <c r="K11" s="15">
        <f t="shared" si="1"/>
        <v>125</v>
      </c>
      <c r="L11" s="25">
        <v>11400</v>
      </c>
      <c r="M11" s="26">
        <v>11400</v>
      </c>
      <c r="N11" s="26">
        <v>11400</v>
      </c>
      <c r="O11" s="26">
        <v>11400</v>
      </c>
      <c r="P11" s="26">
        <v>11400</v>
      </c>
      <c r="Q11" s="26">
        <v>11400</v>
      </c>
      <c r="R11" s="26">
        <v>11400</v>
      </c>
      <c r="S11" s="27">
        <v>11400</v>
      </c>
    </row>
    <row r="12" spans="2:19" ht="16.2" thickBot="1" x14ac:dyDescent="0.35">
      <c r="C12" s="4" t="s">
        <v>10</v>
      </c>
      <c r="D12" s="13">
        <f>D6/D10</f>
        <v>3333.3333333333335</v>
      </c>
      <c r="F12" s="59"/>
      <c r="G12" s="15">
        <f t="shared" si="2"/>
        <v>35</v>
      </c>
      <c r="H12" s="18">
        <v>7700</v>
      </c>
      <c r="I12" s="18">
        <v>10200</v>
      </c>
      <c r="K12" s="15">
        <f t="shared" si="1"/>
        <v>126</v>
      </c>
      <c r="L12" s="25">
        <v>11520</v>
      </c>
      <c r="M12" s="26">
        <v>11520</v>
      </c>
      <c r="N12" s="26">
        <v>11520</v>
      </c>
      <c r="O12" s="26">
        <v>11520</v>
      </c>
      <c r="P12" s="26">
        <v>11520</v>
      </c>
      <c r="Q12" s="26">
        <v>11520</v>
      </c>
      <c r="R12" s="26">
        <v>11520</v>
      </c>
      <c r="S12" s="27">
        <v>11520</v>
      </c>
    </row>
    <row r="13" spans="2:19" ht="15.6" x14ac:dyDescent="0.3">
      <c r="B13" s="55" t="s">
        <v>16</v>
      </c>
      <c r="C13" s="5" t="s">
        <v>11</v>
      </c>
      <c r="D13" s="9">
        <v>120</v>
      </c>
      <c r="F13" s="59"/>
      <c r="G13" s="15">
        <f t="shared" si="2"/>
        <v>36</v>
      </c>
      <c r="H13" s="18">
        <v>7580</v>
      </c>
      <c r="I13" s="18">
        <v>10080</v>
      </c>
      <c r="K13" s="15">
        <f t="shared" si="1"/>
        <v>127</v>
      </c>
      <c r="L13" s="25">
        <v>11640</v>
      </c>
      <c r="M13" s="26">
        <v>11640</v>
      </c>
      <c r="N13" s="26">
        <v>11640</v>
      </c>
      <c r="O13" s="26">
        <v>11640</v>
      </c>
      <c r="P13" s="26">
        <v>11640</v>
      </c>
      <c r="Q13" s="26">
        <v>11640</v>
      </c>
      <c r="R13" s="26">
        <v>11640</v>
      </c>
      <c r="S13" s="27">
        <v>11640</v>
      </c>
    </row>
    <row r="14" spans="2:19" ht="15.6" x14ac:dyDescent="0.3">
      <c r="B14" s="56"/>
      <c r="C14" s="5" t="s">
        <v>12</v>
      </c>
      <c r="D14" s="11">
        <f>$D$13*D8</f>
        <v>14400</v>
      </c>
      <c r="F14" s="59"/>
      <c r="G14" s="15">
        <f t="shared" si="2"/>
        <v>37</v>
      </c>
      <c r="H14" s="18">
        <v>7460</v>
      </c>
      <c r="I14" s="18">
        <v>9960</v>
      </c>
      <c r="K14" s="15">
        <f t="shared" si="1"/>
        <v>128</v>
      </c>
      <c r="L14" s="25">
        <v>11760</v>
      </c>
      <c r="M14" s="26">
        <v>11760</v>
      </c>
      <c r="N14" s="26">
        <v>11760</v>
      </c>
      <c r="O14" s="26">
        <v>11760</v>
      </c>
      <c r="P14" s="26">
        <v>11760</v>
      </c>
      <c r="Q14" s="26">
        <v>11760</v>
      </c>
      <c r="R14" s="26">
        <v>11760</v>
      </c>
      <c r="S14" s="27">
        <v>11760</v>
      </c>
    </row>
    <row r="15" spans="2:19" ht="15.6" x14ac:dyDescent="0.3">
      <c r="B15" s="56"/>
      <c r="C15" s="5" t="s">
        <v>2</v>
      </c>
      <c r="D15" s="11">
        <f>$D$13*D7</f>
        <v>3600</v>
      </c>
      <c r="F15" s="59"/>
      <c r="G15" s="15">
        <f t="shared" si="2"/>
        <v>38</v>
      </c>
      <c r="H15" s="18">
        <v>7340</v>
      </c>
      <c r="I15" s="18">
        <v>9840</v>
      </c>
      <c r="K15" s="15">
        <f t="shared" si="1"/>
        <v>129</v>
      </c>
      <c r="L15" s="25">
        <v>11880</v>
      </c>
      <c r="M15" s="26">
        <v>11880</v>
      </c>
      <c r="N15" s="26">
        <v>11880</v>
      </c>
      <c r="O15" s="26">
        <v>11880</v>
      </c>
      <c r="P15" s="26">
        <v>11880</v>
      </c>
      <c r="Q15" s="26">
        <v>11880</v>
      </c>
      <c r="R15" s="26">
        <v>11880</v>
      </c>
      <c r="S15" s="27">
        <v>11880</v>
      </c>
    </row>
    <row r="16" spans="2:19" ht="15.6" x14ac:dyDescent="0.3">
      <c r="B16" s="56"/>
      <c r="C16" s="5" t="s">
        <v>13</v>
      </c>
      <c r="D16" s="11">
        <f>D14-D15</f>
        <v>10800</v>
      </c>
      <c r="F16" s="59"/>
      <c r="G16" s="15">
        <f t="shared" si="2"/>
        <v>39</v>
      </c>
      <c r="H16" s="18">
        <v>7220</v>
      </c>
      <c r="I16" s="18">
        <v>9720</v>
      </c>
      <c r="K16" s="15">
        <f t="shared" si="1"/>
        <v>130</v>
      </c>
      <c r="L16" s="25">
        <v>12000</v>
      </c>
      <c r="M16" s="26">
        <v>12000</v>
      </c>
      <c r="N16" s="26">
        <v>12000</v>
      </c>
      <c r="O16" s="26">
        <v>12000</v>
      </c>
      <c r="P16" s="26">
        <v>12000</v>
      </c>
      <c r="Q16" s="26">
        <v>12000</v>
      </c>
      <c r="R16" s="26">
        <v>12000</v>
      </c>
      <c r="S16" s="27">
        <v>12000</v>
      </c>
    </row>
    <row r="17" spans="2:19" ht="16.2" thickBot="1" x14ac:dyDescent="0.35">
      <c r="B17" s="56"/>
      <c r="C17" s="5" t="s">
        <v>14</v>
      </c>
      <c r="D17" s="11">
        <f>$D$6</f>
        <v>2500</v>
      </c>
      <c r="F17" s="59"/>
      <c r="G17" s="15">
        <f t="shared" si="2"/>
        <v>40</v>
      </c>
      <c r="H17" s="18">
        <v>7100</v>
      </c>
      <c r="I17" s="18">
        <v>9600</v>
      </c>
      <c r="K17" s="16">
        <f t="shared" si="1"/>
        <v>131</v>
      </c>
      <c r="L17" s="28">
        <v>12120</v>
      </c>
      <c r="M17" s="29">
        <v>12120</v>
      </c>
      <c r="N17" s="29">
        <v>12120</v>
      </c>
      <c r="O17" s="29">
        <v>12120</v>
      </c>
      <c r="P17" s="29">
        <v>12120</v>
      </c>
      <c r="Q17" s="29">
        <v>12120</v>
      </c>
      <c r="R17" s="29">
        <v>12120</v>
      </c>
      <c r="S17" s="30">
        <v>12120</v>
      </c>
    </row>
    <row r="18" spans="2:19" ht="16.2" thickBot="1" x14ac:dyDescent="0.35">
      <c r="B18" s="57"/>
      <c r="C18" s="6" t="s">
        <v>15</v>
      </c>
      <c r="D18" s="12">
        <f>D16-D17</f>
        <v>8300</v>
      </c>
      <c r="F18" s="60"/>
      <c r="G18" s="16">
        <f t="shared" si="2"/>
        <v>41</v>
      </c>
      <c r="H18" s="19">
        <v>6980</v>
      </c>
      <c r="I18" s="19">
        <v>9480</v>
      </c>
    </row>
    <row r="20" spans="2:19" x14ac:dyDescent="0.3">
      <c r="F20"/>
      <c r="G20"/>
      <c r="H20"/>
      <c r="I20"/>
    </row>
    <row r="21" spans="2:19" customFormat="1" x14ac:dyDescent="0.3"/>
    <row r="22" spans="2:19" customFormat="1" x14ac:dyDescent="0.3"/>
    <row r="23" spans="2:19" customFormat="1" x14ac:dyDescent="0.3"/>
    <row r="24" spans="2:19" customFormat="1" x14ac:dyDescent="0.3"/>
    <row r="25" spans="2:19" customFormat="1" x14ac:dyDescent="0.3"/>
    <row r="26" spans="2:19" customFormat="1" x14ac:dyDescent="0.3"/>
    <row r="27" spans="2:19" customFormat="1" x14ac:dyDescent="0.3"/>
    <row r="28" spans="2:19" customFormat="1" x14ac:dyDescent="0.3"/>
    <row r="29" spans="2:19" customFormat="1" x14ac:dyDescent="0.3"/>
    <row r="30" spans="2:19" x14ac:dyDescent="0.3">
      <c r="F30"/>
      <c r="G30"/>
      <c r="H30"/>
      <c r="I30"/>
    </row>
    <row r="31" spans="2:19" x14ac:dyDescent="0.3">
      <c r="F31"/>
      <c r="G31"/>
      <c r="H31"/>
      <c r="I31"/>
    </row>
    <row r="32" spans="2:19" x14ac:dyDescent="0.3">
      <c r="F32"/>
      <c r="G32"/>
      <c r="H32"/>
      <c r="I32"/>
    </row>
    <row r="33" spans="6:9" x14ac:dyDescent="0.3">
      <c r="F33"/>
      <c r="G33"/>
      <c r="H33"/>
      <c r="I33"/>
    </row>
    <row r="34" spans="6:9" x14ac:dyDescent="0.3">
      <c r="F34"/>
      <c r="G34"/>
      <c r="H34"/>
      <c r="I34"/>
    </row>
    <row r="35" spans="6:9" x14ac:dyDescent="0.3">
      <c r="F35"/>
      <c r="G35"/>
      <c r="H35"/>
      <c r="I35"/>
    </row>
    <row r="36" spans="6:9" x14ac:dyDescent="0.3">
      <c r="F36"/>
      <c r="G36"/>
      <c r="H36"/>
      <c r="I36"/>
    </row>
  </sheetData>
  <mergeCells count="5">
    <mergeCell ref="B13:B18"/>
    <mergeCell ref="F6:F18"/>
    <mergeCell ref="F4:I4"/>
    <mergeCell ref="L4:S4"/>
    <mergeCell ref="C5:D5"/>
  </mergeCells>
  <pageMargins left="0.7" right="0.7" top="0.75" bottom="0.75" header="0.3" footer="0.3"/>
  <ignoredErrors>
    <ignoredError sqref="D17"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2049" r:id="rId3" name="Spinner 1">
              <controlPr defaultSize="0" autoPict="0">
                <anchor moveWithCells="1" sizeWithCells="1">
                  <from>
                    <xdr:col>4</xdr:col>
                    <xdr:colOff>15240</xdr:colOff>
                    <xdr:row>12</xdr:row>
                    <xdr:rowOff>7620</xdr:rowOff>
                  </from>
                  <to>
                    <xdr:col>4</xdr:col>
                    <xdr:colOff>403860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E21CA-FBF2-40C2-83E3-1F864B603F0C}">
  <sheetPr codeName="Sheet3"/>
  <dimension ref="E1:M20"/>
  <sheetViews>
    <sheetView zoomScale="93" zoomScaleNormal="115" workbookViewId="0">
      <selection activeCell="H17" sqref="H17"/>
    </sheetView>
  </sheetViews>
  <sheetFormatPr defaultRowHeight="15.6" x14ac:dyDescent="0.3"/>
  <cols>
    <col min="1" max="4" width="8.88671875" style="31"/>
    <col min="5" max="5" width="15.21875" style="31" customWidth="1"/>
    <col min="6" max="6" width="15.44140625" style="31" customWidth="1"/>
    <col min="7" max="7" width="13.21875" style="31" customWidth="1"/>
    <col min="8" max="8" width="11.88671875" style="31" customWidth="1"/>
    <col min="9" max="9" width="12.88671875" style="31" customWidth="1"/>
    <col min="10" max="11" width="8.88671875" style="31"/>
    <col min="12" max="12" width="19.6640625" style="31" customWidth="1"/>
    <col min="13" max="13" width="12.5546875" style="31" bestFit="1" customWidth="1"/>
    <col min="14" max="16384" width="8.88671875" style="31"/>
  </cols>
  <sheetData>
    <row r="1" spans="6:13" ht="16.2" thickBot="1" x14ac:dyDescent="0.35"/>
    <row r="2" spans="6:13" ht="16.2" thickBot="1" x14ac:dyDescent="0.35">
      <c r="F2" s="67" t="s">
        <v>54</v>
      </c>
      <c r="G2" s="68"/>
      <c r="H2" s="68"/>
      <c r="I2" s="69"/>
    </row>
    <row r="3" spans="6:13" x14ac:dyDescent="0.3">
      <c r="G3" s="35" t="s">
        <v>19</v>
      </c>
      <c r="H3" s="35" t="s">
        <v>20</v>
      </c>
      <c r="I3" s="35" t="s">
        <v>21</v>
      </c>
    </row>
    <row r="4" spans="6:13" x14ac:dyDescent="0.3">
      <c r="F4" s="34" t="s">
        <v>0</v>
      </c>
      <c r="G4" s="34">
        <v>2100</v>
      </c>
      <c r="H4" s="34">
        <v>2500</v>
      </c>
      <c r="I4" s="34">
        <v>2100</v>
      </c>
    </row>
    <row r="5" spans="6:13" x14ac:dyDescent="0.3">
      <c r="F5" s="34" t="s">
        <v>22</v>
      </c>
      <c r="G5" s="34">
        <v>50</v>
      </c>
      <c r="H5" s="34">
        <v>62</v>
      </c>
      <c r="I5" s="34">
        <v>56</v>
      </c>
    </row>
    <row r="6" spans="6:13" x14ac:dyDescent="0.3">
      <c r="F6" s="34" t="s">
        <v>23</v>
      </c>
      <c r="G6" s="34">
        <v>90</v>
      </c>
      <c r="H6" s="34">
        <v>120</v>
      </c>
      <c r="I6" s="34">
        <v>90</v>
      </c>
    </row>
    <row r="7" spans="6:13" ht="16.2" thickBot="1" x14ac:dyDescent="0.35">
      <c r="F7" s="34" t="s">
        <v>11</v>
      </c>
      <c r="G7" s="34">
        <v>120</v>
      </c>
      <c r="H7" s="34">
        <v>200</v>
      </c>
      <c r="I7" s="34">
        <v>70</v>
      </c>
    </row>
    <row r="8" spans="6:13" x14ac:dyDescent="0.3">
      <c r="K8" s="64" t="s">
        <v>55</v>
      </c>
      <c r="L8" s="32" t="s">
        <v>11</v>
      </c>
      <c r="M8" s="33">
        <f>G14</f>
        <v>70</v>
      </c>
    </row>
    <row r="9" spans="6:13" x14ac:dyDescent="0.3">
      <c r="K9" s="65"/>
      <c r="L9" s="5" t="s">
        <v>12</v>
      </c>
      <c r="M9" s="11">
        <f>M8*G13</f>
        <v>6300</v>
      </c>
    </row>
    <row r="10" spans="6:13" ht="15" customHeight="1" x14ac:dyDescent="0.3">
      <c r="F10" s="70" t="s">
        <v>35</v>
      </c>
      <c r="G10" s="70"/>
      <c r="K10" s="65"/>
      <c r="L10" s="5" t="s">
        <v>2</v>
      </c>
      <c r="M10" s="11">
        <f>M8*G12</f>
        <v>3920</v>
      </c>
    </row>
    <row r="11" spans="6:13" x14ac:dyDescent="0.3">
      <c r="F11" s="34" t="s">
        <v>0</v>
      </c>
      <c r="G11" s="34">
        <v>2100</v>
      </c>
      <c r="K11" s="65"/>
      <c r="L11" s="5" t="s">
        <v>13</v>
      </c>
      <c r="M11" s="11">
        <f>M9-M10</f>
        <v>2380</v>
      </c>
    </row>
    <row r="12" spans="6:13" x14ac:dyDescent="0.3">
      <c r="F12" s="34" t="s">
        <v>22</v>
      </c>
      <c r="G12" s="34">
        <v>56</v>
      </c>
      <c r="K12" s="65"/>
      <c r="L12" s="5" t="s">
        <v>14</v>
      </c>
      <c r="M12" s="11">
        <f>G11</f>
        <v>2100</v>
      </c>
    </row>
    <row r="13" spans="6:13" ht="16.2" thickBot="1" x14ac:dyDescent="0.35">
      <c r="F13" s="34" t="s">
        <v>23</v>
      </c>
      <c r="G13" s="34">
        <v>90</v>
      </c>
      <c r="K13" s="66"/>
      <c r="L13" s="6" t="s">
        <v>15</v>
      </c>
      <c r="M13" s="12">
        <f>M11-M12</f>
        <v>280</v>
      </c>
    </row>
    <row r="14" spans="6:13" x14ac:dyDescent="0.3">
      <c r="F14" s="34" t="s">
        <v>11</v>
      </c>
      <c r="G14" s="34">
        <v>70</v>
      </c>
    </row>
    <row r="19" spans="5:6" x14ac:dyDescent="0.3">
      <c r="E19" s="84" t="s">
        <v>56</v>
      </c>
      <c r="F19" s="84"/>
    </row>
    <row r="20" spans="5:6" x14ac:dyDescent="0.3">
      <c r="E20" s="84"/>
      <c r="F20" s="84"/>
    </row>
  </sheetData>
  <scenarios current="2" show="2" sqref="M13">
    <scenario name="Base" locked="1" count="4" user="Adithya_1st MBA" comment="Created by Adithya_1st MBA on 30-01-2025_x000a_Modified by Adithya_1st MBA on 30-01-2025_x000a_Modified by Adithya_1st MBA on 04-02-2025">
      <inputCells r="G11" val="2100"/>
      <inputCells r="G12" val="50"/>
      <inputCells r="G13" val="90"/>
      <inputCells r="G14" val="120"/>
    </scenario>
    <scenario name="Boom" locked="1" count="4" user="Adithya_1st MBA" comment="Created by Adithya_1st MBA on 30-01-2025_x000a_Modified by Adithya_1st MBA on 03-02-2025_x000a_Modified by Adithya_1st MBA on 04-02-2025">
      <inputCells r="G11" val="2500"/>
      <inputCells r="G12" val="62"/>
      <inputCells r="G13" val="120"/>
      <inputCells r="G14" val="200"/>
    </scenario>
    <scenario name="Recession" locked="1" count="4" user="Adithya_1st MBA" comment="Created by Adithya_1st MBA on 30-01-2025_x000a_Modified by Adithya_1st MBA on 30-01-2025_x000a_Modified by Adithya_1st MBA on 03-02-2025_x000a_Modified by Adithya_1st MBA on 04-02-2025_x000a_Modified by Adithya_1st MBA on 02-03-2025">
      <inputCells r="G11" val="2100"/>
      <inputCells r="G12" val="56"/>
      <inputCells r="G13" val="90"/>
      <inputCells r="G14" val="70"/>
    </scenario>
  </scenarios>
  <mergeCells count="4">
    <mergeCell ref="K8:K13"/>
    <mergeCell ref="F2:I2"/>
    <mergeCell ref="F10:G10"/>
    <mergeCell ref="E19:F20"/>
  </mergeCells>
  <pageMargins left="0.7" right="0.7" top="0.75" bottom="0.75" header="0.3" footer="0.3"/>
  <ignoredErrors>
    <ignoredError sqref="M12" formula="1"/>
  </ignoredErrors>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24B0E-C216-492D-8E18-8115EF56F238}">
  <sheetPr codeName="Sheet4">
    <outlinePr summaryBelow="0"/>
  </sheetPr>
  <dimension ref="B1:G14"/>
  <sheetViews>
    <sheetView showGridLines="0" workbookViewId="0">
      <selection activeCell="I8" sqref="I8"/>
    </sheetView>
  </sheetViews>
  <sheetFormatPr defaultRowHeight="15.6" outlineLevelRow="1" outlineLevelCol="1" x14ac:dyDescent="0.3"/>
  <cols>
    <col min="1" max="2" width="8.88671875" style="87"/>
    <col min="3" max="3" width="6.77734375" style="87" bestFit="1" customWidth="1"/>
    <col min="4" max="7" width="13.109375" style="87" bestFit="1" customWidth="1" outlineLevel="1"/>
    <col min="8" max="16384" width="8.88671875" style="87"/>
  </cols>
  <sheetData>
    <row r="1" spans="2:7" ht="16.2" thickBot="1" x14ac:dyDescent="0.35"/>
    <row r="2" spans="2:7" x14ac:dyDescent="0.3">
      <c r="B2" s="85" t="s">
        <v>26</v>
      </c>
      <c r="C2" s="85"/>
      <c r="D2" s="88"/>
      <c r="E2" s="88"/>
      <c r="F2" s="88"/>
      <c r="G2" s="88"/>
    </row>
    <row r="3" spans="2:7" collapsed="1" x14ac:dyDescent="0.3">
      <c r="B3" s="86"/>
      <c r="C3" s="86"/>
      <c r="D3" s="89" t="s">
        <v>28</v>
      </c>
      <c r="E3" s="89" t="s">
        <v>24</v>
      </c>
      <c r="F3" s="89" t="s">
        <v>20</v>
      </c>
      <c r="G3" s="89" t="s">
        <v>21</v>
      </c>
    </row>
    <row r="4" spans="2:7" ht="124.8" hidden="1" outlineLevel="1" x14ac:dyDescent="0.3">
      <c r="B4" s="90"/>
      <c r="C4" s="90"/>
      <c r="E4" s="91" t="s">
        <v>34</v>
      </c>
      <c r="F4" s="91" t="s">
        <v>25</v>
      </c>
      <c r="G4" s="91" t="s">
        <v>34</v>
      </c>
    </row>
    <row r="5" spans="2:7" x14ac:dyDescent="0.3">
      <c r="B5" s="92" t="s">
        <v>27</v>
      </c>
      <c r="C5" s="92"/>
      <c r="D5" s="93"/>
      <c r="E5" s="93"/>
      <c r="F5" s="93"/>
      <c r="G5" s="93"/>
    </row>
    <row r="6" spans="2:7" outlineLevel="1" x14ac:dyDescent="0.3">
      <c r="B6" s="90"/>
      <c r="C6" s="90" t="s">
        <v>36</v>
      </c>
      <c r="D6" s="87">
        <v>2100</v>
      </c>
      <c r="E6" s="94">
        <v>2000</v>
      </c>
      <c r="F6" s="94">
        <v>2500</v>
      </c>
      <c r="G6" s="94">
        <v>2100</v>
      </c>
    </row>
    <row r="7" spans="2:7" outlineLevel="1" x14ac:dyDescent="0.3">
      <c r="B7" s="90"/>
      <c r="C7" s="90" t="s">
        <v>37</v>
      </c>
      <c r="D7" s="87">
        <v>56</v>
      </c>
      <c r="E7" s="94">
        <v>50</v>
      </c>
      <c r="F7" s="94">
        <v>62</v>
      </c>
      <c r="G7" s="94">
        <v>56</v>
      </c>
    </row>
    <row r="8" spans="2:7" outlineLevel="1" x14ac:dyDescent="0.3">
      <c r="B8" s="90"/>
      <c r="C8" s="90" t="s">
        <v>38</v>
      </c>
      <c r="D8" s="87">
        <v>90</v>
      </c>
      <c r="E8" s="94">
        <v>90</v>
      </c>
      <c r="F8" s="94">
        <v>120</v>
      </c>
      <c r="G8" s="94">
        <v>90</v>
      </c>
    </row>
    <row r="9" spans="2:7" outlineLevel="1" x14ac:dyDescent="0.3">
      <c r="B9" s="90"/>
      <c r="C9" s="90" t="s">
        <v>39</v>
      </c>
      <c r="D9" s="87">
        <v>70</v>
      </c>
      <c r="E9" s="94">
        <v>120</v>
      </c>
      <c r="F9" s="94">
        <v>200</v>
      </c>
      <c r="G9" s="94">
        <v>70</v>
      </c>
    </row>
    <row r="10" spans="2:7" x14ac:dyDescent="0.3">
      <c r="B10" s="92" t="s">
        <v>33</v>
      </c>
      <c r="C10" s="92"/>
      <c r="D10" s="93"/>
      <c r="E10" s="93"/>
      <c r="F10" s="93"/>
      <c r="G10" s="93"/>
    </row>
    <row r="11" spans="2:7" ht="16.2" outlineLevel="1" thickBot="1" x14ac:dyDescent="0.35">
      <c r="B11" s="95"/>
      <c r="C11" s="95" t="s">
        <v>32</v>
      </c>
      <c r="D11" s="96">
        <v>280</v>
      </c>
      <c r="E11" s="96">
        <v>2800</v>
      </c>
      <c r="F11" s="96">
        <v>9100</v>
      </c>
      <c r="G11" s="96">
        <v>280</v>
      </c>
    </row>
    <row r="12" spans="2:7" x14ac:dyDescent="0.3">
      <c r="B12" s="87" t="s">
        <v>29</v>
      </c>
    </row>
    <row r="13" spans="2:7" x14ac:dyDescent="0.3">
      <c r="B13" s="87" t="s">
        <v>30</v>
      </c>
    </row>
    <row r="14" spans="2:7" x14ac:dyDescent="0.3">
      <c r="B14" s="87" t="s">
        <v>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BEP - What If Analysis</vt:lpstr>
      <vt:lpstr>Sensitivity Analysis</vt:lpstr>
      <vt:lpstr>Scenario Manager</vt:lpstr>
      <vt:lpstr>Scenario Summary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Adithya_1st MBA</dc:creator>
  <cp:lastModifiedBy>Adithya S</cp:lastModifiedBy>
  <dcterms:created xsi:type="dcterms:W3CDTF">2015-06-05T18:17:20Z</dcterms:created>
  <dcterms:modified xsi:type="dcterms:W3CDTF">2025-08-08T15:26:58Z</dcterms:modified>
</cp:coreProperties>
</file>