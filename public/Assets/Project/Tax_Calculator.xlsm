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Website\assets\images\PDFs\Excel Models\"/>
    </mc:Choice>
  </mc:AlternateContent>
  <xr:revisionPtr revIDLastSave="0" documentId="13_ncr:1_{0339CB26-FD83-44A4-A6D9-5855B2A057C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labs" sheetId="1" r:id="rId1"/>
    <sheet name="Tax Calculator (New Budget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" l="1"/>
  <c r="T12" i="1"/>
  <c r="T11" i="1"/>
  <c r="T5" i="1"/>
  <c r="T6" i="1"/>
  <c r="T7" i="1"/>
  <c r="T8" i="1"/>
  <c r="T9" i="1"/>
  <c r="T10" i="1"/>
  <c r="S6" i="1"/>
  <c r="S7" i="1" s="1"/>
  <c r="S8" i="1" s="1"/>
  <c r="S9" i="1" s="1"/>
  <c r="S10" i="1" s="1"/>
  <c r="S11" i="1" s="1"/>
  <c r="S12" i="1" s="1"/>
  <c r="S13" i="1" s="1"/>
  <c r="H12" i="2" a="1"/>
  <c r="H12" i="2" l="1"/>
  <c r="H14" i="2" a="1"/>
  <c r="H14" i="2" l="1"/>
  <c r="H16" i="2" s="1"/>
  <c r="H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Adithya_1st MBA</author>
  </authors>
  <commentList>
    <comment ref="H10" authorId="0" shapeId="0" xr:uid="{FCD00959-8F9F-42E4-BFBD-B578D14AD91B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Enter your Net Taxable Salary (after deductions)
DO NOT CHANGE ANY OTHER FIELDS.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<sst xmlns="http://schemas.openxmlformats.org/spreadsheetml/2006/main" count="14" uniqueCount="13">
  <si>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Lower Limit</t>
  </si>
  <si>
    <t>Upper Limit</t>
  </si>
  <si>
    <t>above</t>
  </si>
  <si>
    <t>Variable</t>
  </si>
  <si>
    <t>Surcharge</t>
  </si>
  <si>
    <t>Income Tax After Relief u/s 87A</t>
  </si>
  <si>
    <t>Health &amp; Education Cess</t>
  </si>
  <si>
    <t>Total Tax Liability</t>
  </si>
  <si>
    <t>Base</t>
  </si>
  <si>
    <t>Tax Rate (%)</t>
  </si>
  <si>
    <t>Reference Table for Tax Rates as per Union Budget 2025 - 2026</t>
  </si>
  <si>
    <t>Net Taxable Salary (after Standard Deduction)</t>
  </si>
  <si>
    <t>Income Tax Calculator for Individuals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</si>
</sst>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&quot;₹&quot;\ #,##0.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Aptos"/>
      <family val="2"/>
    </font>
    <font>
      <sz val="12"/>
      <color theme="1"/>
      <name val="Aptos"/>
      <family val="2"/>
    </font>
    <font>
      <sz val="12"/>
      <color theme="1"/>
      <name val="Aptos"/>
      <family val="2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b/>
      <sz val="12"/>
      <color theme="1"/>
      <name val="Aptos"/>
      <family val="2"/>
    </font>
    <font>
      <sz val="16"/>
      <color theme="1"/>
      <name val="Aptos"/>
      <family val="2"/>
    </font>
    <font>
      <b/>
      <sz val="16"/>
      <color theme="1"/>
      <name val="Aptos"/>
      <family val="2"/>
    </font>
    <font>
      <sz val="16"/>
      <color theme="0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7">
    <xf numFmtId="0" fontId="0" fillId="0" borderId="0" xfId="0"/>
    <xf numFmtId="164" fontId="4" fillId="0" borderId="0" xfId="1" applyNumberFormat="1" applyFont="1"/>
    <xf numFmtId="9" fontId="4" fillId="0" borderId="0" xfId="2" applyFont="1"/>
    <xf numFmtId="164" fontId="3" fillId="0" borderId="0" xfId="1" applyNumberFormat="1" applyFont="1"/>
    <xf numFmtId="164" fontId="2" fillId="0" borderId="0" xfId="1" applyNumberFormat="1" applyFont="1"/>
    <xf numFmtId="164" fontId="1" fillId="0" borderId="12" xfId="1" applyNumberFormat="1" applyFont="1" applyBorder="1" applyAlignment="1">
      <alignment horizontal="center" vertical="center"/>
    </xf>
    <xf numFmtId="164" fontId="4" fillId="0" borderId="12" xfId="1" applyNumberFormat="1" applyFont="1" applyBorder="1" applyAlignment="1">
      <alignment horizontal="center" vertical="center"/>
    </xf>
    <xf numFmtId="9" fontId="4" fillId="0" borderId="12" xfId="2" applyFont="1" applyBorder="1" applyAlignment="1">
      <alignment horizontal="center" vertical="center"/>
    </xf>
    <xf numFmtId="164" fontId="4" fillId="0" borderId="0" xfId="1" applyNumberFormat="1" applyFont="1" applyAlignment="1">
      <alignment vertical="center"/>
    </xf>
    <xf numFmtId="0" fontId="4" fillId="0" borderId="12" xfId="2" applyNumberFormat="1" applyFont="1" applyBorder="1" applyAlignment="1">
      <alignment horizontal="center" vertical="center"/>
    </xf>
    <xf numFmtId="164" fontId="6" fillId="0" borderId="12" xfId="1" applyNumberFormat="1" applyFont="1" applyBorder="1" applyAlignment="1">
      <alignment horizontal="center" vertical="center"/>
    </xf>
    <xf numFmtId="0" fontId="7" fillId="0" borderId="0" xfId="0" applyFont="1"/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0" borderId="0" xfId="0" applyFont="1"/>
    <xf numFmtId="164" fontId="6" fillId="0" borderId="12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left" wrapText="1"/>
    </xf>
    <xf numFmtId="0" fontId="8" fillId="4" borderId="2" xfId="0" applyFont="1" applyFill="1" applyBorder="1" applyAlignment="1">
      <alignment horizontal="left" wrapText="1"/>
    </xf>
    <xf numFmtId="0" fontId="8" fillId="4" borderId="3" xfId="0" applyFont="1" applyFill="1" applyBorder="1" applyAlignment="1">
      <alignment horizontal="left" wrapText="1"/>
    </xf>
    <xf numFmtId="165" fontId="7" fillId="5" borderId="1" xfId="0" applyNumberFormat="1" applyFont="1" applyFill="1" applyBorder="1" applyAlignment="1">
      <alignment horizontal="right" vertical="center"/>
    </xf>
    <xf numFmtId="165" fontId="7" fillId="5" borderId="3" xfId="0" applyNumberFormat="1" applyFont="1" applyFill="1" applyBorder="1" applyAlignment="1">
      <alignment horizontal="right" vertical="center"/>
    </xf>
    <xf numFmtId="0" fontId="8" fillId="4" borderId="1" xfId="0" applyFont="1" applyFill="1" applyBorder="1" applyAlignment="1">
      <alignment horizontal="left"/>
    </xf>
    <xf numFmtId="0" fontId="8" fillId="4" borderId="2" xfId="0" applyFont="1" applyFill="1" applyBorder="1" applyAlignment="1">
      <alignment horizontal="left"/>
    </xf>
    <xf numFmtId="0" fontId="8" fillId="4" borderId="3" xfId="0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J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16828</xdr:colOff>
      <xdr:row>19</xdr:row>
      <xdr:rowOff>41448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9813EB-6E41-47E0-A972-37126F11EA0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680768" cy="380572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23</xdr:row>
      <xdr:rowOff>2441</xdr:rowOff>
    </xdr:from>
    <xdr:to>
      <xdr:col>11</xdr:col>
      <xdr:colOff>401502</xdr:colOff>
      <xdr:row>40</xdr:row>
      <xdr:rowOff>141289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4AE0D31-78F7-4E45-8254-F9C6F0F023B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559201"/>
          <a:ext cx="7808142" cy="35068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708660</xdr:colOff>
          <xdr:row>7</xdr:row>
          <xdr:rowOff>121920</xdr:rowOff>
        </xdr:from>
        <xdr:to>
          <xdr:col>5</xdr:col>
          <xdr:colOff>929640</xdr:colOff>
          <xdr:row>8</xdr:row>
          <xdr:rowOff>129540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68580</xdr:rowOff>
        </xdr:from>
        <xdr:to>
          <xdr:col>4</xdr:col>
          <xdr:colOff>335280</xdr:colOff>
          <xdr:row>8</xdr:row>
          <xdr:rowOff>144780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</xdr:row>
          <xdr:rowOff>106680</xdr:rowOff>
        </xdr:from>
        <xdr:to>
          <xdr:col>8</xdr:col>
          <xdr:colOff>381000</xdr:colOff>
          <xdr:row>8</xdr:row>
          <xdr:rowOff>106680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47813</xdr:colOff>
      <xdr:row>8</xdr:row>
      <xdr:rowOff>226781</xdr:rowOff>
    </xdr:from>
    <xdr:to>
      <xdr:col>15</xdr:col>
      <xdr:colOff>40344</xdr:colOff>
      <xdr:row>17</xdr:row>
      <xdr:rowOff>190975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FFF7E0-F898-1030-6231-D5125B7B54D8}"/>
            </a:ext>
          </a:extLst>
        </xdr:cNvPr>
        <xdr:cNvSpPr txBox="1"/>
      </xdr:nvSpPr>
      <xdr:spPr>
        <a:xfrm>
          <a:off x="10345110" y="2519646"/>
          <a:ext cx="5141180" cy="2737599"/>
        </a:xfrm>
        <a:prstGeom prst="rect">
          <a:avLst/>
        </a:prstGeom>
        <a:solidFill>
          <a:schemeClr val="lt1"/>
        </a:solidFill>
        <a:ln w="571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>
              <a:latin typeface="Aptos" panose="020B0004020202020204" pitchFamily="34" charset="0"/>
            </a:rPr>
            <a:t>"New</a:t>
          </a:r>
          <a:r>
            <a:rPr lang="en-IN" sz="1600" baseline="0">
              <a:latin typeface="Aptos" panose="020B0004020202020204" pitchFamily="34" charset="0"/>
            </a:rPr>
            <a:t> Regime" - Tax rates as applicable under the New Regime (115 BAC Scheme) for the Assessment Year 2025 - 2026.</a:t>
          </a:r>
        </a:p>
        <a:p>
          <a:endParaRPr lang="en-IN" sz="1600" baseline="0">
            <a:latin typeface="Aptos" panose="020B0004020202020204" pitchFamily="34" charset="0"/>
          </a:endParaRPr>
        </a:p>
        <a:p>
          <a:r>
            <a:rPr lang="en-IN" sz="1600" baseline="0">
              <a:latin typeface="Aptos" panose="020B0004020202020204" pitchFamily="34" charset="0"/>
            </a:rPr>
            <a:t>"Old Regime" - Tax rates as applicable under the old Regime</a:t>
          </a:r>
        </a:p>
        <a:p>
          <a:endParaRPr lang="en-IN" sz="1600" baseline="0">
            <a:latin typeface="Aptos" panose="020B0004020202020204" pitchFamily="34" charset="0"/>
          </a:endParaRPr>
        </a:p>
        <a:p>
          <a:r>
            <a:rPr lang="en-IN" sz="1600" baseline="0">
              <a:latin typeface="Aptos" panose="020B0004020202020204" pitchFamily="34" charset="0"/>
            </a:rPr>
            <a:t>"New Budget" - Tax Rates as applicable under the New Regime as per new Union Budget Tax Slabs</a:t>
          </a:r>
          <a:endParaRPr lang="en-IN" sz="1600"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254001</xdr:colOff>
      <xdr:row>7</xdr:row>
      <xdr:rowOff>72995</xdr:rowOff>
    </xdr:from>
    <xdr:to>
      <xdr:col>5</xdr:col>
      <xdr:colOff>423333</xdr:colOff>
      <xdr:row>8</xdr:row>
      <xdr:rowOff>123796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AE3E864-453F-ACFC-4D62-5966990C31E5}"/>
            </a:ext>
          </a:extLst>
        </xdr:cNvPr>
        <xdr:cNvSpPr txBox="1"/>
      </xdr:nvSpPr>
      <xdr:spPr>
        <a:xfrm>
          <a:off x="4372920" y="2098130"/>
          <a:ext cx="1199062" cy="318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0" i="1">
              <a:latin typeface="Aptos" panose="020B0004020202020204" pitchFamily="34" charset="0"/>
            </a:rPr>
            <a:t>Old Regime</a:t>
          </a:r>
        </a:p>
        <a:p>
          <a:endParaRPr lang="en-IN" sz="1600" b="0" i="1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863600</xdr:colOff>
      <xdr:row>7</xdr:row>
      <xdr:rowOff>89930</xdr:rowOff>
    </xdr:from>
    <xdr:to>
      <xdr:col>7</xdr:col>
      <xdr:colOff>203200</xdr:colOff>
      <xdr:row>8</xdr:row>
      <xdr:rowOff>140731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74A29B5-83E2-2220-8844-C32CD207D3BF}"/>
            </a:ext>
          </a:extLst>
        </xdr:cNvPr>
        <xdr:cNvSpPr txBox="1"/>
      </xdr:nvSpPr>
      <xdr:spPr>
        <a:xfrm>
          <a:off x="6012249" y="2115065"/>
          <a:ext cx="1399059" cy="318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i="1">
              <a:latin typeface="Aptos" panose="020B0004020202020204" pitchFamily="34" charset="0"/>
            </a:rPr>
            <a:t>New</a:t>
          </a:r>
          <a:r>
            <a:rPr lang="en-IN" sz="1600" i="1" baseline="0">
              <a:latin typeface="Aptos" panose="020B0004020202020204" pitchFamily="34" charset="0"/>
            </a:rPr>
            <a:t> Regime</a:t>
          </a:r>
          <a:endParaRPr lang="en-IN" sz="1600" i="1">
            <a:latin typeface="Aptos" panose="020B0004020202020204" pitchFamily="34" charset="0"/>
          </a:endParaRPr>
        </a:p>
        <a:p>
          <a:endParaRPr lang="en-IN" sz="1600" i="1">
            <a:latin typeface="Aptos" panose="020B0004020202020204" pitchFamily="34" charset="0"/>
          </a:endParaRPr>
        </a:p>
      </xdr:txBody>
    </xdr:sp>
    <xdr:clientData/>
  </xdr:twoCellAnchor>
  <xdr:twoCellAnchor>
    <xdr:from>
      <xdr:col>7</xdr:col>
      <xdr:colOff>601134</xdr:colOff>
      <xdr:row>7</xdr:row>
      <xdr:rowOff>67734</xdr:rowOff>
    </xdr:from>
    <xdr:to>
      <xdr:col>8</xdr:col>
      <xdr:colOff>872066</xdr:colOff>
      <xdr:row>8</xdr:row>
      <xdr:rowOff>118535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A9901C-83E9-EAA2-4C72-1041E324AEBA}"/>
            </a:ext>
          </a:extLst>
        </xdr:cNvPr>
        <xdr:cNvSpPr txBox="1"/>
      </xdr:nvSpPr>
      <xdr:spPr>
        <a:xfrm>
          <a:off x="7831667" y="2108201"/>
          <a:ext cx="1303866" cy="3217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i="1">
              <a:latin typeface="Aptos" panose="020B0004020202020204" pitchFamily="34" charset="0"/>
            </a:rPr>
            <a:t>New</a:t>
          </a:r>
          <a:r>
            <a:rPr lang="en-IN" sz="1600" i="1" baseline="0">
              <a:latin typeface="Aptos" panose="020B0004020202020204" pitchFamily="34" charset="0"/>
            </a:rPr>
            <a:t> Budget</a:t>
          </a:r>
          <a:endParaRPr lang="en-IN" sz="1600" i="1">
            <a:latin typeface="Aptos" panose="020B0004020202020204" pitchFamily="34" charset="0"/>
          </a:endParaRPr>
        </a:p>
        <a:p>
          <a:endParaRPr lang="en-IN" sz="1600" i="1">
            <a:latin typeface="Aptos" panose="020B00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U28"/>
  <sheetViews>
    <sheetView showGridLines="0" showRowColHeaders="0" zoomScale="95" zoomScaleNormal="100" workbookViewId="0">
      <selection activeCell="P22" sqref="A1:XFD1048576"/>
    </sheetView>
  </sheetViews>
  <sheetFormatPr defaultRowHeight="15.6" x14ac:dyDescent="0.3"/>
  <cols>
    <col min="1" max="1" width="8.88671875" style="1"/>
    <col min="2" max="2" width="13.109375" style="1" bestFit="1" customWidth="1"/>
    <col min="3" max="3" width="8.88671875" style="1"/>
    <col min="4" max="4" width="13.77734375" style="1" bestFit="1" customWidth="1"/>
    <col min="5" max="10" width="8.88671875" style="1"/>
    <col min="11" max="11" width="10.5546875" style="1" bestFit="1" customWidth="1"/>
    <col min="12" max="15" width="8.88671875" style="1"/>
    <col min="16" max="17" width="13.77734375" style="1" bestFit="1" customWidth="1"/>
    <col min="18" max="18" width="13.88671875" style="1" bestFit="1" customWidth="1"/>
    <col min="19" max="19" width="13.77734375" style="1" bestFit="1" customWidth="1"/>
    <col min="20" max="20" width="21.88671875" style="1" bestFit="1" customWidth="1"/>
    <col min="21" max="21" width="11.77734375" style="1" bestFit="1" customWidth="1"/>
    <col min="22" max="16384" width="8.88671875" style="1"/>
  </cols>
  <sheetData>
    <row r="2" spans="6:21" x14ac:dyDescent="0.3">
      <c r="P2" s="16" t="s">
        <v>10</v>
      </c>
      <c r="Q2" s="16"/>
      <c r="R2" s="16"/>
      <c r="S2" s="16"/>
      <c r="T2" s="16"/>
      <c r="U2" s="16"/>
    </row>
    <row r="3" spans="6:21" x14ac:dyDescent="0.3">
      <c r="P3" s="10" t="s">
        <v>0</v>
      </c>
      <c r="Q3" s="10" t="s">
        <v>1</v>
      </c>
      <c r="R3" s="10" t="s">
        <v>9</v>
      </c>
      <c r="S3" s="10" t="s">
        <v>8</v>
      </c>
      <c r="T3" s="10" t="s">
        <v>3</v>
      </c>
      <c r="U3" s="10" t="s">
        <v>4</v>
      </c>
    </row>
    <row r="4" spans="6:21" x14ac:dyDescent="0.3">
      <c r="P4" s="6">
        <v>0</v>
      </c>
      <c r="Q4" s="6">
        <v>400000</v>
      </c>
      <c r="R4" s="6">
        <v>0</v>
      </c>
      <c r="S4" s="6">
        <v>0</v>
      </c>
      <c r="T4" s="6"/>
      <c r="U4" s="6">
        <v>0</v>
      </c>
    </row>
    <row r="5" spans="6:21" x14ac:dyDescent="0.3">
      <c r="P5" s="6">
        <v>400001</v>
      </c>
      <c r="Q5" s="6">
        <v>800000</v>
      </c>
      <c r="R5" s="9">
        <v>5</v>
      </c>
      <c r="S5" s="6">
        <v>0</v>
      </c>
      <c r="T5" s="6" t="str">
        <f>R5 &amp; "% above " &amp; Q4</f>
        <v>5% above 400000</v>
      </c>
      <c r="U5" s="6">
        <v>0</v>
      </c>
    </row>
    <row r="6" spans="6:21" x14ac:dyDescent="0.3">
      <c r="F6" s="2"/>
      <c r="P6" s="6">
        <v>800001</v>
      </c>
      <c r="Q6" s="6">
        <v>1200000</v>
      </c>
      <c r="R6" s="9">
        <v>10</v>
      </c>
      <c r="S6" s="6">
        <f>S5+R5*(Q5-Q4)</f>
        <v>2000000</v>
      </c>
      <c r="T6" s="6" t="str">
        <f t="shared" ref="T6:T10" si="0">R6 &amp; "% above " &amp; Q5</f>
        <v>10% above 800000</v>
      </c>
      <c r="U6" s="6">
        <v>0</v>
      </c>
    </row>
    <row r="7" spans="6:21" x14ac:dyDescent="0.3">
      <c r="F7" s="2"/>
      <c r="P7" s="6">
        <v>1200001</v>
      </c>
      <c r="Q7" s="6">
        <v>1600000</v>
      </c>
      <c r="R7" s="9">
        <v>15</v>
      </c>
      <c r="S7" s="6">
        <f>S6+R6*(Q6-Q5)</f>
        <v>6000000</v>
      </c>
      <c r="T7" s="6" t="str">
        <f t="shared" si="0"/>
        <v>15% above 1200000</v>
      </c>
      <c r="U7" s="6">
        <v>0</v>
      </c>
    </row>
    <row r="8" spans="6:21" x14ac:dyDescent="0.3">
      <c r="F8" s="2"/>
      <c r="P8" s="6">
        <v>1600001</v>
      </c>
      <c r="Q8" s="6">
        <v>2000000</v>
      </c>
      <c r="R8" s="9">
        <v>20</v>
      </c>
      <c r="S8" s="6">
        <f>S7+R7*(Q7-Q6)</f>
        <v>12000000</v>
      </c>
      <c r="T8" s="6" t="str">
        <f t="shared" si="0"/>
        <v>20% above 1600000</v>
      </c>
      <c r="U8" s="6">
        <v>0</v>
      </c>
    </row>
    <row r="9" spans="6:21" x14ac:dyDescent="0.3">
      <c r="F9" s="2"/>
      <c r="P9" s="6">
        <v>2000001</v>
      </c>
      <c r="Q9" s="6">
        <v>2400000</v>
      </c>
      <c r="R9" s="9">
        <v>25</v>
      </c>
      <c r="S9" s="6">
        <f>S8+R8*(Q8-Q7)</f>
        <v>20000000</v>
      </c>
      <c r="T9" s="6" t="str">
        <f t="shared" si="0"/>
        <v>25% above 2000000</v>
      </c>
      <c r="U9" s="6">
        <v>0</v>
      </c>
    </row>
    <row r="10" spans="6:21" x14ac:dyDescent="0.3">
      <c r="F10" s="2"/>
      <c r="P10" s="6">
        <v>2400001</v>
      </c>
      <c r="Q10" s="6">
        <v>5000000</v>
      </c>
      <c r="R10" s="9">
        <v>30</v>
      </c>
      <c r="S10" s="6">
        <f>S9+R9*(Q9-Q8)</f>
        <v>30000000</v>
      </c>
      <c r="T10" s="6" t="str">
        <f t="shared" si="0"/>
        <v>30% above 2400000</v>
      </c>
      <c r="U10" s="7">
        <v>0</v>
      </c>
    </row>
    <row r="11" spans="6:21" x14ac:dyDescent="0.3">
      <c r="F11" s="2"/>
      <c r="P11" s="6">
        <v>5000001</v>
      </c>
      <c r="Q11" s="6">
        <v>10000000</v>
      </c>
      <c r="R11" s="9">
        <v>30</v>
      </c>
      <c r="S11" s="6">
        <f t="shared" ref="S11:S13" si="1">S10</f>
        <v>30000000</v>
      </c>
      <c r="T11" s="6" t="str">
        <f>T10</f>
        <v>30% above 2400000</v>
      </c>
      <c r="U11" s="7">
        <v>0.1</v>
      </c>
    </row>
    <row r="12" spans="6:21" x14ac:dyDescent="0.3">
      <c r="F12" s="2"/>
      <c r="P12" s="6">
        <v>10000001</v>
      </c>
      <c r="Q12" s="6">
        <v>20000000</v>
      </c>
      <c r="R12" s="9">
        <v>30</v>
      </c>
      <c r="S12" s="6">
        <f t="shared" si="1"/>
        <v>30000000</v>
      </c>
      <c r="T12" s="6" t="str">
        <f>T11</f>
        <v>30% above 2400000</v>
      </c>
      <c r="U12" s="7">
        <v>0.15</v>
      </c>
    </row>
    <row r="13" spans="6:21" x14ac:dyDescent="0.3">
      <c r="P13" s="6">
        <v>20000001</v>
      </c>
      <c r="Q13" s="5" t="s">
        <v>2</v>
      </c>
      <c r="R13" s="9">
        <v>30</v>
      </c>
      <c r="S13" s="6">
        <f t="shared" si="1"/>
        <v>30000000</v>
      </c>
      <c r="T13" s="6" t="str">
        <f>T12</f>
        <v>30% above 2400000</v>
      </c>
      <c r="U13" s="7">
        <v>0.25</v>
      </c>
    </row>
    <row r="14" spans="6:21" x14ac:dyDescent="0.3">
      <c r="P14" s="8"/>
      <c r="Q14" s="8"/>
      <c r="R14" s="8"/>
      <c r="S14" s="8"/>
      <c r="T14" s="8"/>
      <c r="U14" s="8"/>
    </row>
    <row r="19" spans="18:21" x14ac:dyDescent="0.3">
      <c r="S19" s="3"/>
      <c r="T19" s="4"/>
      <c r="U19" s="4"/>
    </row>
    <row r="20" spans="18:21" x14ac:dyDescent="0.3">
      <c r="U20" s="2"/>
    </row>
    <row r="21" spans="18:21" x14ac:dyDescent="0.3">
      <c r="R21" s="2"/>
      <c r="U21" s="2"/>
    </row>
    <row r="22" spans="18:21" x14ac:dyDescent="0.3">
      <c r="R22" s="2"/>
      <c r="U22" s="2"/>
    </row>
    <row r="23" spans="18:21" x14ac:dyDescent="0.3">
      <c r="R23" s="2"/>
      <c r="U23" s="2"/>
    </row>
    <row r="24" spans="18:21" x14ac:dyDescent="0.3">
      <c r="R24" s="2"/>
      <c r="U24" s="2"/>
    </row>
    <row r="25" spans="18:21" x14ac:dyDescent="0.3">
      <c r="R25" s="2"/>
      <c r="U25" s="2"/>
    </row>
    <row r="26" spans="18:21" x14ac:dyDescent="0.3">
      <c r="R26" s="2"/>
      <c r="U26" s="2"/>
    </row>
    <row r="27" spans="18:21" x14ac:dyDescent="0.3">
      <c r="R27" s="2"/>
      <c r="U27" s="2"/>
    </row>
    <row r="28" spans="18:21" x14ac:dyDescent="0.3">
      <c r="R28" s="2"/>
      <c r="U28" s="2"/>
    </row>
  </sheetData>
  <mergeCells count="1">
    <mergeCell ref="P2:U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35B3F-234B-47BF-93C5-7CF6D6CCAFB3}">
  <sheetPr codeName="Sheet2"/>
  <dimension ref="E6:J19"/>
  <sheetViews>
    <sheetView showGridLines="0" showRowColHeaders="0" tabSelected="1" topLeftCell="D4" zoomScale="111" workbookViewId="0">
      <selection activeCell="H11" sqref="H11"/>
    </sheetView>
  </sheetViews>
  <sheetFormatPr defaultColWidth="15" defaultRowHeight="21" x14ac:dyDescent="0.4"/>
  <cols>
    <col min="1" max="16384" width="15" style="11"/>
  </cols>
  <sheetData>
    <row r="6" spans="5:10" ht="21.6" thickBot="1" x14ac:dyDescent="0.45"/>
    <row r="7" spans="5:10" ht="32.4" customHeight="1" thickBot="1" x14ac:dyDescent="0.45">
      <c r="E7" s="20" t="s">
        <v>12</v>
      </c>
      <c r="F7" s="21"/>
      <c r="G7" s="21"/>
      <c r="H7" s="21"/>
      <c r="I7" s="22"/>
    </row>
    <row r="8" spans="5:10" x14ac:dyDescent="0.4">
      <c r="E8" s="23"/>
      <c r="F8" s="24"/>
      <c r="G8" s="24"/>
      <c r="H8" s="24"/>
      <c r="I8" s="25"/>
    </row>
    <row r="9" spans="5:10" ht="21.6" thickBot="1" x14ac:dyDescent="0.45">
      <c r="E9" s="26"/>
      <c r="F9" s="27"/>
      <c r="G9" s="27"/>
      <c r="H9" s="27"/>
      <c r="I9" s="28"/>
    </row>
    <row r="10" spans="5:10" ht="45.6" customHeight="1" thickBot="1" x14ac:dyDescent="0.45">
      <c r="E10" s="29" t="s">
        <v>11</v>
      </c>
      <c r="F10" s="30"/>
      <c r="G10" s="31"/>
      <c r="H10" s="32">
        <v>0</v>
      </c>
      <c r="I10" s="33"/>
    </row>
    <row r="11" spans="5:10" ht="21.6" thickBot="1" x14ac:dyDescent="0.45">
      <c r="E11" s="12"/>
      <c r="F11" s="13"/>
      <c r="G11" s="13"/>
      <c r="H11" s="13"/>
      <c r="I11" s="14"/>
      <c r="J11" s="15">
        <v>3</v>
      </c>
    </row>
    <row r="12" spans="5:10" ht="21.6" thickBot="1" x14ac:dyDescent="0.45">
      <c r="E12" s="34" t="s">
        <v>5</v>
      </c>
      <c r="F12" s="35"/>
      <c r="G12" s="36"/>
      <c r="H12" s="32" cm="1">
        <f t="array" ref="H12">_xlfn.IFS($J$11=1,NEW_IT_B(H10),$J$11=2,OLD_IT_B(H10),$J$11=3,BUD_IT_B(H10))</f>
        <v>0</v>
      </c>
      <c r="I12" s="33"/>
    </row>
    <row r="13" spans="5:10" ht="21.6" thickBot="1" x14ac:dyDescent="0.45">
      <c r="E13" s="12"/>
      <c r="F13" s="13"/>
      <c r="G13" s="13"/>
      <c r="H13" s="13"/>
      <c r="I13" s="14"/>
    </row>
    <row r="14" spans="5:10" ht="21.6" thickBot="1" x14ac:dyDescent="0.45">
      <c r="E14" s="34" t="s">
        <v>4</v>
      </c>
      <c r="F14" s="35"/>
      <c r="G14" s="36"/>
      <c r="H14" s="32" cm="1">
        <f t="array" ref="H14">_xlfn.IFS($J$11=1,NEW_IT_S(H10,H12),$J$11=2,OLD_IT_S(H10,H12),$J$11=3,BUD_IT_S(H10,H12))</f>
        <v>0</v>
      </c>
      <c r="I14" s="33"/>
    </row>
    <row r="15" spans="5:10" ht="21.6" thickBot="1" x14ac:dyDescent="0.45">
      <c r="E15" s="12"/>
      <c r="F15" s="13"/>
      <c r="G15" s="13"/>
      <c r="H15" s="13"/>
      <c r="I15" s="14"/>
    </row>
    <row r="16" spans="5:10" ht="21.6" thickBot="1" x14ac:dyDescent="0.45">
      <c r="E16" s="34" t="s">
        <v>6</v>
      </c>
      <c r="F16" s="35"/>
      <c r="G16" s="36"/>
      <c r="H16" s="32">
        <f>ROUND((H14+H12)*0.04,0)</f>
        <v>0</v>
      </c>
      <c r="I16" s="33"/>
    </row>
    <row r="17" spans="5:9" ht="21.6" thickBot="1" x14ac:dyDescent="0.45">
      <c r="E17" s="12"/>
      <c r="F17" s="13"/>
      <c r="G17" s="13"/>
      <c r="H17" s="13"/>
      <c r="I17" s="14"/>
    </row>
    <row r="18" spans="5:9" ht="21.6" thickBot="1" x14ac:dyDescent="0.45">
      <c r="E18" s="34" t="s">
        <v>7</v>
      </c>
      <c r="F18" s="35"/>
      <c r="G18" s="36"/>
      <c r="H18" s="32">
        <f>H16+H14+H12</f>
        <v>0</v>
      </c>
      <c r="I18" s="33"/>
    </row>
    <row r="19" spans="5:9" ht="21.6" thickBot="1" x14ac:dyDescent="0.45">
      <c r="E19" s="17"/>
      <c r="F19" s="18"/>
      <c r="G19" s="18"/>
      <c r="H19" s="18"/>
      <c r="I19" s="19"/>
    </row>
  </sheetData>
  <mergeCells count="14">
    <mergeCell ref="E19:I19"/>
    <mergeCell ref="E7:I7"/>
    <mergeCell ref="E8:I8"/>
    <mergeCell ref="E9:I9"/>
    <mergeCell ref="E10:G10"/>
    <mergeCell ref="H10:I10"/>
    <mergeCell ref="E18:G18"/>
    <mergeCell ref="H18:I18"/>
    <mergeCell ref="E12:G12"/>
    <mergeCell ref="H12:I12"/>
    <mergeCell ref="E14:G14"/>
    <mergeCell ref="H14:I14"/>
    <mergeCell ref="E16:G16"/>
    <mergeCell ref="H16:I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5</xdr:col>
                    <xdr:colOff>708660</xdr:colOff>
                    <xdr:row>7</xdr:row>
                    <xdr:rowOff>121920</xdr:rowOff>
                  </from>
                  <to>
                    <xdr:col>5</xdr:col>
                    <xdr:colOff>929640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>
                <anchor moveWithCells="1">
                  <from>
                    <xdr:col>4</xdr:col>
                    <xdr:colOff>114300</xdr:colOff>
                    <xdr:row>7</xdr:row>
                    <xdr:rowOff>68580</xdr:rowOff>
                  </from>
                  <to>
                    <xdr:col>4</xdr:col>
                    <xdr:colOff>335280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>
                <anchor moveWithCells="1">
                  <from>
                    <xdr:col>7</xdr:col>
                    <xdr:colOff>457200</xdr:colOff>
                    <xdr:row>7</xdr:row>
                    <xdr:rowOff>106680</xdr:rowOff>
                  </from>
                  <to>
                    <xdr:col>8</xdr:col>
                    <xdr:colOff>381000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Slabs</vt:lpstr>
      <vt:lpstr>Tax Calculator (New Budget)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Adithya_1st MBA</dc:creator>
  <cp:lastModifiedBy>Adithya S</cp:lastModifiedBy>
  <dcterms:created xsi:type="dcterms:W3CDTF">2015-06-05T18:17:20Z</dcterms:created>
  <dcterms:modified xsi:type="dcterms:W3CDTF">2025-07-18T05:28:28Z</dcterms:modified>
</cp:coreProperties>
</file>